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480\Documents\Agência\CURSOS\DIO - Analise de Dados com BI\Excel\Exercícios_Projetos\dio_excel_dash_vendas_xbox\dio_excel_dash_vendas_xbox\"/>
    </mc:Choice>
  </mc:AlternateContent>
  <xr:revisionPtr revIDLastSave="0" documentId="13_ncr:1_{C704B7BF-A86C-4FFE-9A5D-A771FFDB3B21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Subscription_Type">#N/A</definedName>
  </definedNames>
  <calcPr calcId="191029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C33" i="3"/>
  <c r="E41" i="3"/>
  <c r="D41" i="3"/>
  <c r="C41" i="3"/>
</calcChain>
</file>

<file path=xl/sharedStrings.xml><?xml version="1.0" encoding="utf-8"?>
<sst xmlns="http://schemas.openxmlformats.org/spreadsheetml/2006/main" count="2028" uniqueCount="331">
  <si>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</si>
  <si>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</si>
  <si>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</si>
  <si>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</si>
  <si>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</si>
  <si>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</si>
  <si>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</si>
  <si>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</si>
  <si>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</si>
  <si>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</si>
  <si>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</si>
  <si>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</si>
  <si>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</si>
  <si>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</si>
  <si>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</si>
  <si>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</si>
  <si>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</si>
  <si>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</si>
  <si>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</si>
  <si>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</si>
  <si>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</si>
  <si>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</si>
  <si>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</si>
  <si>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</si>
  <si>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</si>
  <si>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</si>
  <si>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</si>
  <si>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</si>
  <si>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</si>
  <si>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</si>
  <si>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</si>
  <si>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</si>
  <si>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</si>
  <si>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</si>
  <si>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</si>
  <si>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</si>
  <si>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</si>
  <si>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</si>
  <si>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</si>
  <si>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</si>
  <si>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</si>
  <si>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</si>
  <si>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</si>
  <si>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</si>
  <si>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</si>
  <si>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</si>
  <si>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</si>
  <si>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</si>
  <si>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</si>
  <si>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</si>
  <si>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</si>
  <si>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</si>
  <si>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</si>
  <si>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</si>
  <si>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</si>
  <si>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</si>
  <si>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</si>
  <si>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</si>
  <si>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</si>
  <si>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</si>
  <si>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</si>
  <si>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</si>
  <si>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</si>
  <si>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</si>
  <si>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</si>
  <si>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</si>
  <si>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</si>
  <si>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</si>
  <si>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</si>
  <si>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</si>
  <si>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</si>
  <si>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</si>
  <si>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</si>
  <si>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</si>
  <si>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</si>
  <si>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</si>
  <si>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</si>
  <si>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</si>
  <si>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</si>
  <si>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</si>
  <si>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</si>
  <si>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</si>
  <si>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</si>
  <si>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</si>
  <si>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</si>
  <si>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</si>
  <si>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</si>
  <si>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</si>
  <si>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</si>
  <si>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</si>
  <si>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</si>
  <si>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</si>
  <si>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</si>
  <si>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</si>
  <si>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</si>
  <si>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</si>
  <si>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</si>
  <si>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</si>
  <si>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</si>
  <si>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</si>
  <si>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</si>
  <si>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</si>
  <si>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</si>
  <si>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</si>
  <si>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</si>
  <si>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</si>
  <si>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</si>
  <si>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</si>
  <si>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</si>
  <si>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</si>
  <si>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</si>
  <si>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</si>
  <si>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</si>
  <si>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</si>
  <si>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</si>
  <si>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</si>
  <si>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</si>
  <si>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</si>
  <si>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</si>
  <si>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</si>
  <si>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</si>
  <si>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</si>
  <si>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</si>
  <si>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</si>
  <si>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</si>
  <si>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</si>
  <si>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</si>
  <si>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</si>
  <si>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</si>
  <si>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</si>
  <si>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</si>
  <si>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</si>
  <si>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</si>
  <si>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</si>
  <si>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</si>
  <si>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</si>
  <si>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</si>
  <si>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</si>
  <si>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</si>
  <si>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</si>
  <si>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</si>
  <si>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</si>
  <si>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</si>
  <si>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</si>
  <si>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</si>
  <si>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</si>
  <si>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</si>
  <si>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</si>
  <si>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</si>
  <si>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</si>
  <si>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</si>
  <si>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</si>
  <si>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</si>
  <si>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</si>
  <si>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</si>
  <si>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</si>
  <si>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</si>
  <si>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</si>
  <si>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</si>
  <si>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</si>
  <si>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</si>
  <si>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</si>
  <si>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</si>
  <si>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</si>
  <si>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</si>
  <si>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</si>
  <si>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</si>
  <si>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</si>
  <si>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</si>
  <si>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</si>
  <si>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</si>
  <si>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</si>
  <si>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</si>
  <si>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</si>
  <si>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</si>
  <si>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</si>
  <si>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</si>
  <si>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</si>
  <si>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</si>
  <si>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</si>
  <si>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</si>
  <si>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</si>
  <si>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</si>
  <si>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</si>
  <si>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</si>
  <si>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</si>
  <si>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</si>
  <si>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</si>
  <si>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</si>
  <si>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</si>
  <si>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</si>
  <si>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</si>
  <si>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</si>
  <si>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</si>
  <si>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</si>
  <si>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</si>
  <si>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</si>
  <si>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</si>
  <si>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</si>
  <si>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</si>
  <si>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</si>
  <si>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</si>
  <si>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</si>
  <si>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</si>
  <si>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</si>
  <si>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</si>
  <si>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</si>
  <si>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</si>
  <si>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</si>
  <si>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</si>
  <si>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</si>
  <si>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</si>
  <si>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</si>
  <si>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</si>
  <si>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</si>
  <si>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</si>
  <si>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</si>
  <si>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</si>
  <si>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</si>
  <si>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</si>
  <si>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</si>
  <si>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</si>
  <si>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</si>
  <si>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</si>
  <si>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</si>
  <si>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</si>
  <si>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</si>
  <si>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</si>
  <si>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</si>
  <si>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</si>
  <si>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</si>
  <si>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</si>
  <si>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</si>
  <si>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</si>
  <si>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</si>
  <si>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</si>
  <si>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</si>
  <si>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</si>
  <si>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</si>
  <si>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</si>
  <si>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</si>
  <si>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</si>
  <si>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</si>
  <si>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</si>
  <si>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</si>
  <si>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</si>
  <si>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</si>
  <si>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</si>
  <si>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</si>
  <si>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</si>
  <si>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</si>
  <si>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</si>
  <si>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</si>
  <si>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</si>
  <si>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</si>
  <si>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</si>
  <si>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</si>
  <si>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</si>
  <si>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</si>
  <si>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</si>
  <si>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</si>
  <si>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</si>
  <si>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</si>
  <si>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</si>
  <si>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</si>
  <si>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</si>
  <si>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</si>
  <si>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</si>
  <si>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</si>
  <si>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</si>
  <si>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</si>
  <si>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</si>
  <si>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</si>
  <si>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</si>
  <si>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</si>
  <si>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</si>
  <si>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</si>
  <si>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</si>
  <si>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</si>
  <si>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</si>
  <si>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</si>
  <si>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</si>
  <si>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</si>
  <si>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</si>
  <si>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</si>
  <si>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</si>
  <si>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</si>
  <si>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</si>
  <si>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</si>
  <si>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</si>
  <si>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</si>
  <si>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</si>
  <si>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</si>
  <si>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</si>
  <si>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</si>
  <si>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</si>
  <si>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</si>
  <si>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</si>
  <si>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</si>
  <si>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</si>
  <si>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</si>
  <si>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</si>
  <si>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</si>
  <si>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</si>
  <si>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</si>
  <si>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</si>
  <si>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</si>
  <si>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</si>
  <si>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</si>
  <si>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</si>
  <si>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</si>
  <si>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</si>
  <si>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</si>
  <si>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Vendas Xbox Geral</t>
  </si>
  <si>
    <t>(Tudo)</t>
  </si>
  <si>
    <t>Soma de Total Value</t>
  </si>
  <si>
    <t>Rótulos de Linha</t>
  </si>
  <si>
    <t>Total Geral</t>
  </si>
  <si>
    <t>Contagem de Plan</t>
  </si>
  <si>
    <t>Perguntas de Negócios para o DashBoard</t>
  </si>
  <si>
    <r>
      <t xml:space="preserve">Pergunta </t>
    </r>
    <r>
      <rPr>
        <b/>
        <sz val="11"/>
        <color theme="1"/>
        <rFont val="Aptos Narrow"/>
        <family val="2"/>
        <scheme val="minor"/>
      </rPr>
      <t>01</t>
    </r>
    <r>
      <rPr>
        <sz val="11"/>
        <color theme="1"/>
        <rFont val="Aptos Narrow"/>
        <family val="2"/>
        <scheme val="minor"/>
      </rPr>
      <t>: Qual 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</si>
  <si>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</t>
    </r>
    <r>
      <rPr>
        <b/>
        <sz val="11"/>
        <color theme="1"/>
        <rFont val="Aptos Narrow"/>
        <family val="2"/>
        <scheme val="minor"/>
      </rPr>
      <t xml:space="preserve"> 02</t>
    </r>
    <r>
      <rPr>
        <sz val="11"/>
        <color theme="1"/>
        <rFont val="Aptos Narrow"/>
        <family val="2"/>
        <scheme val="minor"/>
      </rPr>
      <t xml:space="preserve">: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>.</t>
    </r>
  </si>
  <si>
    <r>
      <t xml:space="preserve">Pergunta </t>
    </r>
    <r>
      <rPr>
        <b/>
        <sz val="11"/>
        <color theme="1"/>
        <rFont val="Aptos Narrow"/>
        <family val="2"/>
        <scheme val="minor"/>
      </rPr>
      <t>04</t>
    </r>
    <r>
      <rPr>
        <sz val="11"/>
        <color theme="1"/>
        <rFont val="Aptos Narrow"/>
        <family val="2"/>
        <scheme val="minor"/>
      </rPr>
      <t>: Qual o</t>
    </r>
    <r>
      <rPr>
        <b/>
        <sz val="11"/>
        <color theme="1"/>
        <rFont val="Aptos Narrow"/>
        <family val="2"/>
        <scheme val="minor"/>
      </rPr>
      <t xml:space="preserve"> Ticket Médio </t>
    </r>
    <r>
      <rPr>
        <sz val="11"/>
        <color theme="1"/>
        <rFont val="Aptos Narrow"/>
        <family val="2"/>
        <scheme val="minor"/>
      </rPr>
      <t>por assinante em cada</t>
    </r>
    <r>
      <rPr>
        <b/>
        <sz val="11"/>
        <color theme="1"/>
        <rFont val="Aptos Narrow"/>
        <family val="2"/>
        <scheme val="minor"/>
      </rPr>
      <t xml:space="preserve"> tipo de assinatura</t>
    </r>
    <r>
      <rPr>
        <sz val="11"/>
        <color theme="1"/>
        <rFont val="Aptos Narrow"/>
        <family val="2"/>
        <scheme val="minor"/>
      </rPr>
      <t>?</t>
    </r>
  </si>
  <si>
    <t>Soma de Coupon Value</t>
  </si>
  <si>
    <r>
      <t>Pergunta</t>
    </r>
    <r>
      <rPr>
        <b/>
        <sz val="11"/>
        <color theme="1"/>
        <rFont val="Aptos Narrow"/>
        <family val="2"/>
        <scheme val="minor"/>
      </rPr>
      <t xml:space="preserve"> 03</t>
    </r>
    <r>
      <rPr>
        <sz val="11"/>
        <color theme="1"/>
        <rFont val="Aptos Narrow"/>
        <family val="2"/>
        <scheme val="minor"/>
      </rPr>
      <t>: Qual o</t>
    </r>
    <r>
      <rPr>
        <b/>
        <sz val="11"/>
        <color theme="1"/>
        <rFont val="Aptos Narrow"/>
        <family val="2"/>
        <scheme val="minor"/>
      </rPr>
      <t xml:space="preserve"> valor total</t>
    </r>
    <r>
      <rPr>
        <sz val="11"/>
        <color theme="1"/>
        <rFont val="Aptos Narrow"/>
        <family val="2"/>
        <scheme val="minor"/>
      </rPr>
      <t xml:space="preserve"> de cupons aplicados por </t>
    </r>
    <r>
      <rPr>
        <b/>
        <sz val="11"/>
        <color theme="1"/>
        <rFont val="Aptos Narrow"/>
        <family val="2"/>
        <scheme val="minor"/>
      </rPr>
      <t>tipo de assinatura e planos</t>
    </r>
    <r>
      <rPr>
        <sz val="11"/>
        <color theme="1"/>
        <rFont val="Aptos Narrow"/>
        <family val="2"/>
        <scheme val="minor"/>
      </rPr>
      <t>?</t>
    </r>
  </si>
  <si>
    <t>Média de Total Value</t>
  </si>
  <si>
    <t>Contagem de Name</t>
  </si>
  <si>
    <t>Média de Subscription Price</t>
  </si>
  <si>
    <t>Período Assinatura</t>
  </si>
  <si>
    <t>Planos Escolhidos</t>
  </si>
  <si>
    <t>Período de apuração: 01/01/2024 - 31/12/2024  |  Update Date: 02/11/2025 18:18:07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</si>
</sst>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4" fillId="8" borderId="0" xfId="0" applyFont="1" applyFill="1" applyAlignment="1">
      <alignment horizontal="center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3" fillId="10" borderId="0" xfId="0" applyFont="1" applyFill="1" applyAlignment="1">
      <alignment horizontal="center"/>
    </xf>
    <xf numFmtId="0" fontId="0" fillId="0" borderId="0" xfId="0" applyAlignment="1"/>
    <xf numFmtId="0" fontId="0" fillId="11" borderId="0" xfId="0" applyFill="1" applyAlignment="1">
      <alignment horizontal="left"/>
    </xf>
    <xf numFmtId="0" fontId="0" fillId="11" borderId="0" xfId="0" applyNumberFormat="1" applyFill="1"/>
    <xf numFmtId="164" fontId="0" fillId="11" borderId="0" xfId="0" applyNumberFormat="1" applyFill="1"/>
    <xf numFmtId="0" fontId="0" fillId="11" borderId="0" xfId="0" applyFill="1"/>
    <xf numFmtId="164" fontId="0" fillId="0" borderId="0" xfId="2" applyFont="1"/>
    <xf numFmtId="0" fontId="0" fillId="12" borderId="0" xfId="0" applyFill="1"/>
    <xf numFmtId="0" fontId="4" fillId="9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5">
    <dxf>
      <font>
        <color theme="0" tint="-4.9989318521683403E-2"/>
      </font>
      <fill>
        <patternFill patternType="solid">
          <bgColor theme="1" tint="0.14996795556505021"/>
        </patternFill>
      </fill>
      <border diagonalUp="0" diagonalDown="1"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diagonal style="thin">
          <color theme="2" tint="-9.9948118533890809E-2"/>
        </diagonal>
        <vertical style="thin">
          <color theme="2" tint="-9.9948118533890809E-2"/>
        </vertical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3" xr9:uid="{5BEA5CF7-0D1B-41DF-8C29-6D463837C9BD}">
      <tableStyleElement type="wholeTable" dxfId="0"/>
    </tableStyle>
  </tableStyles>
  <colors>
    <mruColors>
      <color rgb="FFFFFF66"/>
      <color rgb="FF22C55E"/>
      <color rgb="FFE8E6E9"/>
      <color rgb="FF5BF6A8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2" tint="-0.749961851863155"/>
            </patternFill>
          </fill>
        </dxf>
        <dxf>
          <fill>
            <patternFill>
              <bgColor theme="2" tint="-0.49998474074526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 001.xlsx]C̳álculos!tbl_annual_total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54740396909222"/>
          <c:y val="6.2394817612399997E-2"/>
          <c:w val="0.85594703707821429"/>
          <c:h val="0.875210364775199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Contagem de Plan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C̳álculos!$B$13:$B$14</c:f>
              <c:strCache>
                <c:ptCount val="1"/>
                <c:pt idx="0">
                  <c:v>Monthly</c:v>
                </c:pt>
              </c:strCache>
            </c:strRef>
          </c:cat>
          <c:val>
            <c:numRef>
              <c:f>C̳álculos!$C$13:$C$14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8-45BA-95E4-AB912DAD1843}"/>
            </c:ext>
          </c:extLst>
        </c:ser>
        <c:ser>
          <c:idx val="1"/>
          <c:order val="1"/>
          <c:tx>
            <c:strRef>
              <c:f>C̳álculos!$D$12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C̳álculos!$B$13:$B$14</c:f>
              <c:strCache>
                <c:ptCount val="1"/>
                <c:pt idx="0">
                  <c:v>Monthly</c:v>
                </c:pt>
              </c:strCache>
            </c:strRef>
          </c:cat>
          <c:val>
            <c:numRef>
              <c:f>C̳álculos!$D$13:$D$14</c:f>
              <c:numCache>
                <c:formatCode>_-"R$"\ * #,##0.00_-;\-"R$"\ * #,##0.00_-;_-"R$"\ * "-"??_-;_-@_-</c:formatCode>
                <c:ptCount val="1"/>
                <c:pt idx="0">
                  <c:v>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18-45BA-95E4-AB912DAD1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9198287"/>
        <c:axId val="1464839583"/>
      </c:barChart>
      <c:catAx>
        <c:axId val="151919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839583"/>
        <c:crosses val="autoZero"/>
        <c:auto val="1"/>
        <c:lblAlgn val="ctr"/>
        <c:lblOffset val="100"/>
        <c:noMultiLvlLbl val="0"/>
      </c:catAx>
      <c:valAx>
        <c:axId val="146483958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1919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 001.xlsx]C̳álculos!Tabela dinâmica2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C̳álculos!$C$20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C̳álculos!$B$21:$B$22</c:f>
              <c:strCache>
                <c:ptCount val="1"/>
                <c:pt idx="0">
                  <c:v>Standard</c:v>
                </c:pt>
              </c:strCache>
            </c:strRef>
          </c:cat>
          <c:val>
            <c:numRef>
              <c:f>C̳álculos!$C$21:$C$22</c:f>
              <c:numCache>
                <c:formatCode>_-"R$"\ * #,##0.00_-;\-"R$"\ * #,##0.00_-;_-"R$"\ * "-"??_-;_-@_-</c:formatCode>
                <c:ptCount val="1"/>
                <c:pt idx="0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F-42B7-B833-AA349516088B}"/>
            </c:ext>
          </c:extLst>
        </c:ser>
        <c:ser>
          <c:idx val="1"/>
          <c:order val="1"/>
          <c:tx>
            <c:strRef>
              <c:f>C̳álculos!$D$20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C̳álculos!$B$21:$B$22</c:f>
              <c:strCache>
                <c:ptCount val="1"/>
                <c:pt idx="0">
                  <c:v>Standard</c:v>
                </c:pt>
              </c:strCache>
            </c:strRef>
          </c:cat>
          <c:val>
            <c:numRef>
              <c:f>C̳álculos!$D$21:$D$22</c:f>
              <c:numCache>
                <c:formatCode>_-"R$"\ * #,##0.00_-;\-"R$"\ * #,##0.00_-;_-"R$"\ * "-"??_-;_-@_-</c:formatCode>
                <c:ptCount val="1"/>
                <c:pt idx="0">
                  <c:v>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F-42B7-B833-AA3495160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923167"/>
        <c:axId val="1625923647"/>
      </c:barChart>
      <c:catAx>
        <c:axId val="162592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5923647"/>
        <c:crosses val="autoZero"/>
        <c:auto val="1"/>
        <c:lblAlgn val="ctr"/>
        <c:lblOffset val="100"/>
        <c:noMultiLvlLbl val="0"/>
      </c:catAx>
      <c:valAx>
        <c:axId val="16259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592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38100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38100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110485</xdr:colOff>
      <xdr:row>0</xdr:row>
      <xdr:rowOff>160030</xdr:rowOff>
    </xdr:from>
    <xdr:to>
      <xdr:col>11</xdr:col>
      <xdr:colOff>119216</xdr:colOff>
      <xdr:row>1</xdr:row>
      <xdr:rowOff>385608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6205BA31-A6A9-2B9F-6D4E-473E72EE4A26}"/>
            </a:ext>
          </a:extLst>
        </xdr:cNvPr>
        <xdr:cNvSpPr/>
      </xdr:nvSpPr>
      <xdr:spPr>
        <a:xfrm>
          <a:off x="2015485" y="160030"/>
          <a:ext cx="5774941" cy="4201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25000"/>
                </a:schemeClr>
              </a:solidFill>
            </a:rPr>
            <a:t>XBOX</a:t>
          </a:r>
          <a:r>
            <a:rPr lang="pt-BR" sz="1600" b="1" baseline="0">
              <a:solidFill>
                <a:schemeClr val="bg2">
                  <a:lumMod val="25000"/>
                </a:schemeClr>
              </a:solidFill>
            </a:rPr>
            <a:t> GAME PASS SUBSCRIPTION SALES </a:t>
          </a:r>
          <a:endParaRPr lang="pt-BR" sz="16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345281</xdr:colOff>
      <xdr:row>1</xdr:row>
      <xdr:rowOff>11906</xdr:rowOff>
    </xdr:from>
    <xdr:to>
      <xdr:col>0</xdr:col>
      <xdr:colOff>1000124</xdr:colOff>
      <xdr:row>3</xdr:row>
      <xdr:rowOff>59531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DC06F5D-C6D8-48D3-BD24-9523596057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16307" r="71122" b="11480"/>
        <a:stretch>
          <a:fillRect/>
        </a:stretch>
      </xdr:blipFill>
      <xdr:spPr>
        <a:xfrm>
          <a:off x="345281" y="202406"/>
          <a:ext cx="654843" cy="738188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3</xdr:row>
      <xdr:rowOff>80446</xdr:rowOff>
    </xdr:from>
    <xdr:to>
      <xdr:col>11</xdr:col>
      <xdr:colOff>122903</xdr:colOff>
      <xdr:row>15</xdr:row>
      <xdr:rowOff>107156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C32E663-98C7-4C47-B017-8E0E8BC0C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26194</xdr:colOff>
      <xdr:row>7</xdr:row>
      <xdr:rowOff>83345</xdr:rowOff>
    </xdr:from>
    <xdr:to>
      <xdr:col>0</xdr:col>
      <xdr:colOff>1833562</xdr:colOff>
      <xdr:row>14</xdr:row>
      <xdr:rowOff>54770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ipos de Planos">
              <a:extLst>
                <a:ext uri="{FF2B5EF4-FFF2-40B4-BE49-F238E27FC236}">
                  <a16:creationId xmlns:a16="http://schemas.microsoft.com/office/drawing/2014/main" id="{441F67FE-6DC0-49AA-B713-8BA8D3F21F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s de Plan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94" y="1742539"/>
              <a:ext cx="1807368" cy="1333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142876</xdr:colOff>
      <xdr:row>16</xdr:row>
      <xdr:rowOff>35719</xdr:rowOff>
    </xdr:from>
    <xdr:to>
      <xdr:col>11</xdr:col>
      <xdr:colOff>122903</xdr:colOff>
      <xdr:row>27</xdr:row>
      <xdr:rowOff>144319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2741ED3-20E1-44D9-A2EA-133F40600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6</xdr:col>
      <xdr:colOff>521955</xdr:colOff>
      <xdr:row>34</xdr:row>
      <xdr:rowOff>132888</xdr:rowOff>
    </xdr:from>
    <xdr:to>
      <xdr:col>10</xdr:col>
      <xdr:colOff>586478</xdr:colOff>
      <xdr:row>40</xdr:row>
      <xdr:rowOff>85263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BB1EDC47-4929-C99B-0AB7-73ED8D6330D3}"/>
            </a:ext>
          </a:extLst>
        </xdr:cNvPr>
        <xdr:cNvGrpSpPr/>
      </xdr:nvGrpSpPr>
      <xdr:grpSpPr>
        <a:xfrm>
          <a:off x="5120584" y="7046194"/>
          <a:ext cx="2522588" cy="1119956"/>
          <a:chOff x="6977062" y="952499"/>
          <a:chExt cx="2488405" cy="1095375"/>
        </a:xfrm>
      </xdr:grpSpPr>
      <xdr:sp macro="" textlink="C̳álculos!E24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0A4EF9B7-3AD7-635A-BA22-6D264C2EA166}"/>
              </a:ext>
            </a:extLst>
          </xdr:cNvPr>
          <xdr:cNvSpPr/>
        </xdr:nvSpPr>
        <xdr:spPr>
          <a:xfrm>
            <a:off x="6977062" y="952499"/>
            <a:ext cx="2488405" cy="1095375"/>
          </a:xfrm>
          <a:prstGeom prst="roundRect">
            <a:avLst/>
          </a:prstGeom>
          <a:ln>
            <a:solidFill>
              <a:schemeClr val="bg2">
                <a:lumMod val="1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algn="l"/>
            <a:fld id="{CEF334BE-40DF-4CFB-83DC-E859B10117BA}" type="TxLink">
              <a:rPr lang="en-US" sz="2800" b="1" i="0" u="none" strike="noStrike">
                <a:ln>
                  <a:noFill/>
                </a:ln>
                <a:solidFill>
                  <a:schemeClr val="bg2">
                    <a:lumMod val="25000"/>
                  </a:schemeClr>
                </a:solidFill>
                <a:latin typeface="Aptos Narrow"/>
              </a:rPr>
              <a:t> R$ 958,00 </a:t>
            </a:fld>
            <a:endParaRPr lang="pt-BR" sz="2800" b="1">
              <a:ln>
                <a:noFill/>
              </a:ln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61E7C179-4B75-7E98-4C0C-092B137EDA68}"/>
              </a:ext>
            </a:extLst>
          </xdr:cNvPr>
          <xdr:cNvSpPr txBox="1"/>
        </xdr:nvSpPr>
        <xdr:spPr>
          <a:xfrm>
            <a:off x="7262812" y="1012031"/>
            <a:ext cx="1893094" cy="261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chemeClr val="bg2">
                    <a:lumMod val="25000"/>
                  </a:schemeClr>
                </a:solidFill>
              </a:rPr>
              <a:t>VALOR TOTAL</a:t>
            </a:r>
          </a:p>
        </xdr:txBody>
      </xdr:sp>
    </xdr:grpSp>
    <xdr:clientData/>
  </xdr:twoCellAnchor>
  <xdr:twoCellAnchor editAs="absolute">
    <xdr:from>
      <xdr:col>2</xdr:col>
      <xdr:colOff>55231</xdr:colOff>
      <xdr:row>34</xdr:row>
      <xdr:rowOff>135500</xdr:rowOff>
    </xdr:from>
    <xdr:to>
      <xdr:col>6</xdr:col>
      <xdr:colOff>119753</xdr:colOff>
      <xdr:row>40</xdr:row>
      <xdr:rowOff>87875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F8207A9E-3A71-5FDA-E97C-B1E08D2BD37D}"/>
            </a:ext>
          </a:extLst>
        </xdr:cNvPr>
        <xdr:cNvGrpSpPr/>
      </xdr:nvGrpSpPr>
      <xdr:grpSpPr>
        <a:xfrm>
          <a:off x="2195796" y="7048806"/>
          <a:ext cx="2522586" cy="1119956"/>
          <a:chOff x="6986587" y="2128837"/>
          <a:chExt cx="2488405" cy="1095375"/>
        </a:xfrm>
      </xdr:grpSpPr>
      <xdr:sp macro="" textlink="C̳álculos!C41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D2134EE1-043B-7CB5-B67C-7327AF13EBDF}"/>
              </a:ext>
            </a:extLst>
          </xdr:cNvPr>
          <xdr:cNvSpPr/>
        </xdr:nvSpPr>
        <xdr:spPr>
          <a:xfrm>
            <a:off x="6986587" y="2128837"/>
            <a:ext cx="2488405" cy="1095375"/>
          </a:xfrm>
          <a:prstGeom prst="roundRect">
            <a:avLst/>
          </a:prstGeom>
          <a:ln>
            <a:solidFill>
              <a:schemeClr val="bg2">
                <a:lumMod val="1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marL="0" indent="0" algn="l"/>
            <a:fld id="{97F22C28-420E-4CA0-A206-E20963B0011C}" type="TxLink">
              <a:rPr lang="en-US" sz="2800" b="1" i="0" u="none" strike="noStrike">
                <a:ln>
                  <a:noFill/>
                </a:ln>
                <a:solidFill>
                  <a:schemeClr val="bg2">
                    <a:lumMod val="25000"/>
                  </a:schemeClr>
                </a:solidFill>
                <a:latin typeface="Aptos Narrow"/>
                <a:ea typeface="+mn-ea"/>
                <a:cs typeface="+mn-cs"/>
              </a:rPr>
              <a:pPr marL="0" indent="0" algn="l"/>
              <a:t>45</a:t>
            </a:fld>
            <a:endParaRPr lang="pt-BR" sz="2800" b="1" i="0" u="none" strike="noStrike">
              <a:ln>
                <a:noFill/>
              </a:ln>
              <a:solidFill>
                <a:schemeClr val="bg2">
                  <a:lumMod val="2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56FD76FE-127B-021C-8916-C41EE5EB9D51}"/>
              </a:ext>
            </a:extLst>
          </xdr:cNvPr>
          <xdr:cNvSpPr txBox="1"/>
        </xdr:nvSpPr>
        <xdr:spPr>
          <a:xfrm>
            <a:off x="7272337" y="2188369"/>
            <a:ext cx="1893094" cy="261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chemeClr val="bg2">
                    <a:lumMod val="25000"/>
                  </a:schemeClr>
                </a:solidFill>
              </a:rPr>
              <a:t>QUANTIDADE ASSINATURAS</a:t>
            </a:r>
          </a:p>
        </xdr:txBody>
      </xdr:sp>
    </xdr:grpSp>
    <xdr:clientData/>
  </xdr:twoCellAnchor>
  <xdr:twoCellAnchor editAs="absolute">
    <xdr:from>
      <xdr:col>6</xdr:col>
      <xdr:colOff>525642</xdr:colOff>
      <xdr:row>28</xdr:row>
      <xdr:rowOff>76661</xdr:rowOff>
    </xdr:from>
    <xdr:to>
      <xdr:col>10</xdr:col>
      <xdr:colOff>590165</xdr:colOff>
      <xdr:row>34</xdr:row>
      <xdr:rowOff>29036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864041C-5E2E-6C56-E945-BD5C08997E46}"/>
            </a:ext>
          </a:extLst>
        </xdr:cNvPr>
        <xdr:cNvGrpSpPr/>
      </xdr:nvGrpSpPr>
      <xdr:grpSpPr>
        <a:xfrm>
          <a:off x="5124271" y="5822387"/>
          <a:ext cx="2522588" cy="1119955"/>
          <a:chOff x="6996112" y="3305175"/>
          <a:chExt cx="2488405" cy="1095375"/>
        </a:xfrm>
      </xdr:grpSpPr>
      <xdr:sp macro="" textlink="C̳álculos!C33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1EF348C7-D05F-9B16-3E2D-F8B04116C0E8}"/>
              </a:ext>
            </a:extLst>
          </xdr:cNvPr>
          <xdr:cNvSpPr/>
        </xdr:nvSpPr>
        <xdr:spPr>
          <a:xfrm>
            <a:off x="6996112" y="3305175"/>
            <a:ext cx="2488405" cy="1095375"/>
          </a:xfrm>
          <a:prstGeom prst="roundRect">
            <a:avLst/>
          </a:prstGeom>
          <a:ln>
            <a:solidFill>
              <a:schemeClr val="bg2">
                <a:lumMod val="1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marL="0" indent="0" algn="l"/>
            <a:fld id="{D10050BB-FCE3-489F-9FB8-2FA31ED15B78}" type="TxLink">
              <a:rPr lang="en-US" sz="2800" b="1" i="0" u="none" strike="noStrike">
                <a:ln>
                  <a:noFill/>
                </a:ln>
                <a:solidFill>
                  <a:schemeClr val="bg2">
                    <a:lumMod val="25000"/>
                  </a:schemeClr>
                </a:solidFill>
                <a:latin typeface="Aptos Narrow"/>
                <a:ea typeface="+mn-ea"/>
                <a:cs typeface="+mn-cs"/>
              </a:rPr>
              <a:pPr marL="0" indent="0" algn="l"/>
              <a:t> R$ 21,29 </a:t>
            </a:fld>
            <a:endParaRPr lang="pt-BR" sz="2800" b="1" i="0" u="none" strike="noStrike">
              <a:ln>
                <a:noFill/>
              </a:ln>
              <a:solidFill>
                <a:schemeClr val="bg2">
                  <a:lumMod val="2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629EABD6-445B-5D17-72A7-3892B8262D5E}"/>
              </a:ext>
            </a:extLst>
          </xdr:cNvPr>
          <xdr:cNvSpPr txBox="1"/>
        </xdr:nvSpPr>
        <xdr:spPr>
          <a:xfrm>
            <a:off x="7281862" y="3364707"/>
            <a:ext cx="1893094" cy="261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chemeClr val="bg2">
                    <a:lumMod val="25000"/>
                  </a:schemeClr>
                </a:solidFill>
              </a:rPr>
              <a:t>VALOR</a:t>
            </a:r>
            <a:r>
              <a:rPr lang="pt-BR" sz="1100" b="1" baseline="0">
                <a:solidFill>
                  <a:schemeClr val="bg2">
                    <a:lumMod val="25000"/>
                  </a:schemeClr>
                </a:solidFill>
              </a:rPr>
              <a:t> MÉDIO PLANO</a:t>
            </a:r>
            <a:endParaRPr lang="pt-BR" sz="1100" b="1">
              <a:solidFill>
                <a:schemeClr val="bg2">
                  <a:lumMod val="25000"/>
                </a:schemeClr>
              </a:solidFill>
            </a:endParaRPr>
          </a:p>
        </xdr:txBody>
      </xdr:sp>
    </xdr:grpSp>
    <xdr:clientData/>
  </xdr:twoCellAnchor>
  <xdr:twoCellAnchor editAs="absolute">
    <xdr:from>
      <xdr:col>2</xdr:col>
      <xdr:colOff>50851</xdr:colOff>
      <xdr:row>28</xdr:row>
      <xdr:rowOff>79272</xdr:rowOff>
    </xdr:from>
    <xdr:to>
      <xdr:col>6</xdr:col>
      <xdr:colOff>108076</xdr:colOff>
      <xdr:row>34</xdr:row>
      <xdr:rowOff>31647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63471AE7-CE4D-47B4-E783-7B82841F37C5}"/>
            </a:ext>
          </a:extLst>
        </xdr:cNvPr>
        <xdr:cNvGrpSpPr/>
      </xdr:nvGrpSpPr>
      <xdr:grpSpPr>
        <a:xfrm>
          <a:off x="2191416" y="5824998"/>
          <a:ext cx="2515289" cy="1119955"/>
          <a:chOff x="7005637" y="4481513"/>
          <a:chExt cx="2488405" cy="1095375"/>
        </a:xfrm>
      </xdr:grpSpPr>
      <xdr:sp macro="" textlink="C̳álculos!D41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6526F3A2-4DEE-E101-DF51-DCF955F42DFB}"/>
              </a:ext>
            </a:extLst>
          </xdr:cNvPr>
          <xdr:cNvSpPr/>
        </xdr:nvSpPr>
        <xdr:spPr>
          <a:xfrm>
            <a:off x="7005637" y="4481513"/>
            <a:ext cx="2488405" cy="1095375"/>
          </a:xfrm>
          <a:prstGeom prst="roundRect">
            <a:avLst/>
          </a:prstGeom>
          <a:ln>
            <a:solidFill>
              <a:schemeClr val="bg2">
                <a:lumMod val="10000"/>
              </a:schemeClr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1"/>
          <a:lstStyle/>
          <a:p>
            <a:pPr marL="0" indent="0" algn="l"/>
            <a:fld id="{2D9B1C99-BF7F-46E3-BC32-3218418CBFEF}" type="TxLink">
              <a:rPr lang="en-US" sz="2800" b="1" i="0" u="none" strike="noStrike">
                <a:ln>
                  <a:noFill/>
                </a:ln>
                <a:solidFill>
                  <a:schemeClr val="bg2">
                    <a:lumMod val="25000"/>
                  </a:schemeClr>
                </a:solidFill>
                <a:latin typeface="Aptos Narrow"/>
                <a:ea typeface="+mn-ea"/>
                <a:cs typeface="+mn-cs"/>
              </a:rPr>
              <a:pPr marL="0" indent="0" algn="l"/>
              <a:t> R$ 10,00 </a:t>
            </a:fld>
            <a:endParaRPr lang="pt-BR" sz="2800" b="1" i="0" u="none" strike="noStrike">
              <a:ln>
                <a:noFill/>
              </a:ln>
              <a:solidFill>
                <a:schemeClr val="bg2">
                  <a:lumMod val="2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D2988DF3-F46D-B679-C50D-13D8B18BB64E}"/>
              </a:ext>
            </a:extLst>
          </xdr:cNvPr>
          <xdr:cNvSpPr txBox="1"/>
        </xdr:nvSpPr>
        <xdr:spPr>
          <a:xfrm>
            <a:off x="7291387" y="4541045"/>
            <a:ext cx="1893094" cy="261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100" b="1">
                <a:solidFill>
                  <a:schemeClr val="bg2">
                    <a:lumMod val="25000"/>
                  </a:schemeClr>
                </a:solidFill>
              </a:rPr>
              <a:t>PREÇO MÉDIO TOTAL</a:t>
            </a:r>
          </a:p>
        </xdr:txBody>
      </xdr:sp>
    </xdr:grpSp>
    <xdr:clientData/>
  </xdr:twoCellAnchor>
  <xdr:twoCellAnchor editAs="oneCell">
    <xdr:from>
      <xdr:col>0</xdr:col>
      <xdr:colOff>23812</xdr:colOff>
      <xdr:row>16</xdr:row>
      <xdr:rowOff>47625</xdr:rowOff>
    </xdr:from>
    <xdr:to>
      <xdr:col>0</xdr:col>
      <xdr:colOff>1852612</xdr:colOff>
      <xdr:row>23</xdr:row>
      <xdr:rowOff>154781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Plan">
              <a:extLst>
                <a:ext uri="{FF2B5EF4-FFF2-40B4-BE49-F238E27FC236}">
                  <a16:creationId xmlns:a16="http://schemas.microsoft.com/office/drawing/2014/main" id="{B99C2063-3727-48D6-9AF7-CB7F1B238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3458190"/>
              <a:ext cx="1828800" cy="14693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is Barbeto" refreshedDate="45963.544741898149" createdVersion="8" refreshedVersion="8" minRefreshableVersion="3" recordCount="295" xr:uid="{5FB49D8A-EACD-43CC-86D0-6ABFFAF3508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 count="2">
        <n v="20"/>
        <n v="0"/>
      </sharedItems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680921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x v="0"/>
    <n v="5"/>
    <n v="60"/>
  </r>
  <r>
    <n v="3232"/>
    <x v="1"/>
    <x v="1"/>
    <d v="2024-01-15T00:00:00"/>
    <x v="1"/>
    <n v="5"/>
    <x v="1"/>
    <x v="1"/>
    <x v="1"/>
    <x v="1"/>
    <x v="1"/>
    <n v="0"/>
    <n v="5"/>
  </r>
  <r>
    <n v="3233"/>
    <x v="2"/>
    <x v="2"/>
    <d v="2024-02-10T00:00:00"/>
    <x v="0"/>
    <n v="10"/>
    <x v="2"/>
    <x v="1"/>
    <x v="1"/>
    <x v="0"/>
    <x v="0"/>
    <n v="10"/>
    <n v="20"/>
  </r>
  <r>
    <n v="3234"/>
    <x v="3"/>
    <x v="0"/>
    <d v="2024-02-20T00:00:00"/>
    <x v="1"/>
    <n v="15"/>
    <x v="0"/>
    <x v="0"/>
    <x v="0"/>
    <x v="0"/>
    <x v="0"/>
    <n v="3"/>
    <n v="62"/>
  </r>
  <r>
    <n v="3235"/>
    <x v="4"/>
    <x v="1"/>
    <d v="2024-03-05T00:00:00"/>
    <x v="0"/>
    <n v="5"/>
    <x v="0"/>
    <x v="1"/>
    <x v="1"/>
    <x v="1"/>
    <x v="1"/>
    <n v="1"/>
    <n v="4"/>
  </r>
  <r>
    <n v="3236"/>
    <x v="5"/>
    <x v="2"/>
    <d v="2024-03-02T00:00:00"/>
    <x v="1"/>
    <n v="10"/>
    <x v="0"/>
    <x v="1"/>
    <x v="1"/>
    <x v="0"/>
    <x v="0"/>
    <n v="2"/>
    <n v="28"/>
  </r>
  <r>
    <n v="3237"/>
    <x v="6"/>
    <x v="0"/>
    <d v="2024-03-03T00:00:00"/>
    <x v="0"/>
    <n v="15"/>
    <x v="2"/>
    <x v="0"/>
    <x v="0"/>
    <x v="0"/>
    <x v="0"/>
    <n v="10"/>
    <n v="55"/>
  </r>
  <r>
    <n v="3238"/>
    <x v="7"/>
    <x v="1"/>
    <d v="2024-03-04T00:00:00"/>
    <x v="0"/>
    <n v="5"/>
    <x v="1"/>
    <x v="1"/>
    <x v="1"/>
    <x v="1"/>
    <x v="1"/>
    <n v="0"/>
    <n v="5"/>
  </r>
  <r>
    <n v="3239"/>
    <x v="8"/>
    <x v="0"/>
    <d v="2024-03-05T00:00:00"/>
    <x v="1"/>
    <n v="15"/>
    <x v="0"/>
    <x v="0"/>
    <x v="0"/>
    <x v="0"/>
    <x v="0"/>
    <n v="5"/>
    <n v="60"/>
  </r>
  <r>
    <n v="3240"/>
    <x v="9"/>
    <x v="2"/>
    <d v="2024-03-06T00:00:00"/>
    <x v="0"/>
    <n v="10"/>
    <x v="2"/>
    <x v="1"/>
    <x v="1"/>
    <x v="0"/>
    <x v="0"/>
    <n v="15"/>
    <n v="15"/>
  </r>
  <r>
    <n v="3241"/>
    <x v="10"/>
    <x v="1"/>
    <d v="2024-03-07T00:00:00"/>
    <x v="1"/>
    <n v="5"/>
    <x v="0"/>
    <x v="1"/>
    <x v="1"/>
    <x v="1"/>
    <x v="1"/>
    <n v="1"/>
    <n v="4"/>
  </r>
  <r>
    <n v="3242"/>
    <x v="11"/>
    <x v="0"/>
    <d v="2024-03-08T00:00:00"/>
    <x v="0"/>
    <n v="15"/>
    <x v="1"/>
    <x v="0"/>
    <x v="0"/>
    <x v="0"/>
    <x v="0"/>
    <n v="20"/>
    <n v="45"/>
  </r>
  <r>
    <n v="3243"/>
    <x v="12"/>
    <x v="2"/>
    <d v="2024-03-09T00:00:00"/>
    <x v="1"/>
    <n v="10"/>
    <x v="0"/>
    <x v="1"/>
    <x v="1"/>
    <x v="0"/>
    <x v="0"/>
    <n v="10"/>
    <n v="20"/>
  </r>
  <r>
    <n v="3244"/>
    <x v="13"/>
    <x v="1"/>
    <d v="2024-03-10T00:00:00"/>
    <x v="0"/>
    <n v="5"/>
    <x v="2"/>
    <x v="1"/>
    <x v="1"/>
    <x v="1"/>
    <x v="1"/>
    <n v="0"/>
    <n v="5"/>
  </r>
  <r>
    <n v="3245"/>
    <x v="14"/>
    <x v="0"/>
    <d v="2024-03-11T00:00:00"/>
    <x v="1"/>
    <n v="15"/>
    <x v="0"/>
    <x v="0"/>
    <x v="0"/>
    <x v="0"/>
    <x v="0"/>
    <n v="8"/>
    <n v="57"/>
  </r>
  <r>
    <n v="3246"/>
    <x v="15"/>
    <x v="2"/>
    <d v="2024-03-12T00:00:00"/>
    <x v="0"/>
    <n v="10"/>
    <x v="1"/>
    <x v="1"/>
    <x v="1"/>
    <x v="0"/>
    <x v="0"/>
    <n v="12"/>
    <n v="18"/>
  </r>
  <r>
    <n v="3247"/>
    <x v="16"/>
    <x v="1"/>
    <d v="2024-03-13T00:00:00"/>
    <x v="1"/>
    <n v="5"/>
    <x v="0"/>
    <x v="1"/>
    <x v="1"/>
    <x v="1"/>
    <x v="1"/>
    <n v="2"/>
    <n v="3"/>
  </r>
  <r>
    <n v="3248"/>
    <x v="17"/>
    <x v="0"/>
    <d v="2024-03-14T00:00:00"/>
    <x v="0"/>
    <n v="15"/>
    <x v="2"/>
    <x v="0"/>
    <x v="0"/>
    <x v="0"/>
    <x v="0"/>
    <n v="7"/>
    <n v="58"/>
  </r>
  <r>
    <n v="3249"/>
    <x v="18"/>
    <x v="2"/>
    <d v="2024-03-15T00:00:00"/>
    <x v="1"/>
    <n v="10"/>
    <x v="0"/>
    <x v="1"/>
    <x v="1"/>
    <x v="0"/>
    <x v="0"/>
    <n v="5"/>
    <n v="25"/>
  </r>
  <r>
    <n v="3250"/>
    <x v="19"/>
    <x v="1"/>
    <d v="2024-03-16T00:00:00"/>
    <x v="0"/>
    <n v="5"/>
    <x v="1"/>
    <x v="1"/>
    <x v="1"/>
    <x v="1"/>
    <x v="1"/>
    <n v="0"/>
    <n v="5"/>
  </r>
  <r>
    <n v="3251"/>
    <x v="20"/>
    <x v="0"/>
    <d v="2024-03-17T00:00:00"/>
    <x v="1"/>
    <n v="15"/>
    <x v="0"/>
    <x v="0"/>
    <x v="0"/>
    <x v="0"/>
    <x v="0"/>
    <n v="3"/>
    <n v="62"/>
  </r>
  <r>
    <n v="3252"/>
    <x v="21"/>
    <x v="2"/>
    <d v="2024-03-18T00:00:00"/>
    <x v="0"/>
    <n v="10"/>
    <x v="2"/>
    <x v="1"/>
    <x v="1"/>
    <x v="0"/>
    <x v="0"/>
    <n v="15"/>
    <n v="15"/>
  </r>
  <r>
    <n v="3253"/>
    <x v="22"/>
    <x v="1"/>
    <d v="2024-03-19T00:00:00"/>
    <x v="1"/>
    <n v="5"/>
    <x v="0"/>
    <x v="1"/>
    <x v="1"/>
    <x v="1"/>
    <x v="1"/>
    <n v="1"/>
    <n v="4"/>
  </r>
  <r>
    <n v="3254"/>
    <x v="23"/>
    <x v="0"/>
    <d v="2024-03-20T00:00:00"/>
    <x v="0"/>
    <n v="15"/>
    <x v="1"/>
    <x v="0"/>
    <x v="0"/>
    <x v="0"/>
    <x v="0"/>
    <n v="20"/>
    <n v="45"/>
  </r>
  <r>
    <n v="3255"/>
    <x v="24"/>
    <x v="2"/>
    <d v="2024-03-21T00:00:00"/>
    <x v="1"/>
    <n v="10"/>
    <x v="0"/>
    <x v="1"/>
    <x v="1"/>
    <x v="0"/>
    <x v="0"/>
    <n v="10"/>
    <n v="20"/>
  </r>
  <r>
    <n v="3256"/>
    <x v="25"/>
    <x v="1"/>
    <d v="2024-03-22T00:00:00"/>
    <x v="0"/>
    <n v="5"/>
    <x v="2"/>
    <x v="1"/>
    <x v="1"/>
    <x v="1"/>
    <x v="1"/>
    <n v="0"/>
    <n v="5"/>
  </r>
  <r>
    <n v="3257"/>
    <x v="26"/>
    <x v="0"/>
    <d v="2024-03-23T00:00:00"/>
    <x v="1"/>
    <n v="15"/>
    <x v="0"/>
    <x v="0"/>
    <x v="0"/>
    <x v="0"/>
    <x v="0"/>
    <n v="5"/>
    <n v="60"/>
  </r>
  <r>
    <n v="3258"/>
    <x v="27"/>
    <x v="2"/>
    <d v="2024-03-24T00:00:00"/>
    <x v="0"/>
    <n v="10"/>
    <x v="1"/>
    <x v="1"/>
    <x v="1"/>
    <x v="0"/>
    <x v="0"/>
    <n v="15"/>
    <n v="15"/>
  </r>
  <r>
    <n v="3259"/>
    <x v="28"/>
    <x v="1"/>
    <d v="2024-03-25T00:00:00"/>
    <x v="1"/>
    <n v="5"/>
    <x v="0"/>
    <x v="1"/>
    <x v="1"/>
    <x v="1"/>
    <x v="1"/>
    <n v="1"/>
    <n v="4"/>
  </r>
  <r>
    <n v="3260"/>
    <x v="29"/>
    <x v="0"/>
    <d v="2024-03-26T00:00:00"/>
    <x v="0"/>
    <n v="15"/>
    <x v="2"/>
    <x v="0"/>
    <x v="0"/>
    <x v="0"/>
    <x v="0"/>
    <n v="7"/>
    <n v="58"/>
  </r>
  <r>
    <n v="3261"/>
    <x v="30"/>
    <x v="2"/>
    <d v="2024-03-27T00:00:00"/>
    <x v="1"/>
    <n v="10"/>
    <x v="0"/>
    <x v="1"/>
    <x v="1"/>
    <x v="0"/>
    <x v="0"/>
    <n v="10"/>
    <n v="20"/>
  </r>
  <r>
    <n v="3262"/>
    <x v="31"/>
    <x v="1"/>
    <d v="2024-03-28T00:00:00"/>
    <x v="0"/>
    <n v="5"/>
    <x v="1"/>
    <x v="1"/>
    <x v="1"/>
    <x v="1"/>
    <x v="1"/>
    <n v="0"/>
    <n v="5"/>
  </r>
  <r>
    <n v="3263"/>
    <x v="32"/>
    <x v="0"/>
    <d v="2024-03-29T00:00:00"/>
    <x v="1"/>
    <n v="15"/>
    <x v="0"/>
    <x v="0"/>
    <x v="0"/>
    <x v="0"/>
    <x v="0"/>
    <n v="3"/>
    <n v="62"/>
  </r>
  <r>
    <n v="3264"/>
    <x v="33"/>
    <x v="2"/>
    <d v="2024-03-30T00:00:00"/>
    <x v="0"/>
    <n v="10"/>
    <x v="2"/>
    <x v="1"/>
    <x v="1"/>
    <x v="0"/>
    <x v="0"/>
    <n v="15"/>
    <n v="15"/>
  </r>
  <r>
    <n v="3265"/>
    <x v="34"/>
    <x v="1"/>
    <d v="2024-03-31T00:00:00"/>
    <x v="1"/>
    <n v="5"/>
    <x v="0"/>
    <x v="1"/>
    <x v="1"/>
    <x v="1"/>
    <x v="1"/>
    <n v="1"/>
    <n v="4"/>
  </r>
  <r>
    <n v="3266"/>
    <x v="35"/>
    <x v="1"/>
    <d v="2024-04-01T00:00:00"/>
    <x v="0"/>
    <n v="5"/>
    <x v="0"/>
    <x v="1"/>
    <x v="1"/>
    <x v="1"/>
    <x v="1"/>
    <n v="0"/>
    <n v="5"/>
  </r>
  <r>
    <n v="3267"/>
    <x v="36"/>
    <x v="0"/>
    <d v="2024-04-02T00:00:00"/>
    <x v="1"/>
    <n v="15"/>
    <x v="2"/>
    <x v="0"/>
    <x v="0"/>
    <x v="0"/>
    <x v="0"/>
    <n v="7"/>
    <n v="58"/>
  </r>
  <r>
    <n v="3268"/>
    <x v="37"/>
    <x v="2"/>
    <d v="2024-04-03T00:00:00"/>
    <x v="0"/>
    <n v="10"/>
    <x v="1"/>
    <x v="1"/>
    <x v="1"/>
    <x v="0"/>
    <x v="0"/>
    <n v="10"/>
    <n v="20"/>
  </r>
  <r>
    <n v="3269"/>
    <x v="38"/>
    <x v="1"/>
    <d v="2024-04-04T00:00:00"/>
    <x v="1"/>
    <n v="5"/>
    <x v="2"/>
    <x v="1"/>
    <x v="1"/>
    <x v="1"/>
    <x v="1"/>
    <n v="1"/>
    <n v="4"/>
  </r>
  <r>
    <n v="3270"/>
    <x v="39"/>
    <x v="0"/>
    <d v="2024-04-05T00:00:00"/>
    <x v="0"/>
    <n v="15"/>
    <x v="0"/>
    <x v="0"/>
    <x v="0"/>
    <x v="0"/>
    <x v="0"/>
    <n v="15"/>
    <n v="50"/>
  </r>
  <r>
    <n v="3271"/>
    <x v="40"/>
    <x v="2"/>
    <d v="2024-04-06T00:00:00"/>
    <x v="1"/>
    <n v="10"/>
    <x v="0"/>
    <x v="1"/>
    <x v="1"/>
    <x v="0"/>
    <x v="0"/>
    <n v="5"/>
    <n v="25"/>
  </r>
  <r>
    <n v="3272"/>
    <x v="41"/>
    <x v="1"/>
    <d v="2024-04-07T00:00:00"/>
    <x v="0"/>
    <n v="5"/>
    <x v="1"/>
    <x v="1"/>
    <x v="1"/>
    <x v="1"/>
    <x v="1"/>
    <n v="0"/>
    <n v="5"/>
  </r>
  <r>
    <n v="3273"/>
    <x v="42"/>
    <x v="0"/>
    <d v="2024-04-08T00:00:00"/>
    <x v="1"/>
    <n v="15"/>
    <x v="2"/>
    <x v="0"/>
    <x v="0"/>
    <x v="0"/>
    <x v="0"/>
    <n v="20"/>
    <n v="45"/>
  </r>
  <r>
    <n v="3274"/>
    <x v="43"/>
    <x v="2"/>
    <d v="2024-04-09T00:00:00"/>
    <x v="0"/>
    <n v="10"/>
    <x v="2"/>
    <x v="1"/>
    <x v="1"/>
    <x v="0"/>
    <x v="0"/>
    <n v="12"/>
    <n v="18"/>
  </r>
  <r>
    <n v="3275"/>
    <x v="44"/>
    <x v="1"/>
    <d v="2024-04-10T00:00:00"/>
    <x v="1"/>
    <n v="5"/>
    <x v="0"/>
    <x v="1"/>
    <x v="1"/>
    <x v="1"/>
    <x v="1"/>
    <n v="2"/>
    <n v="3"/>
  </r>
  <r>
    <n v="3276"/>
    <x v="45"/>
    <x v="0"/>
    <d v="2024-04-11T00:00:00"/>
    <x v="0"/>
    <n v="15"/>
    <x v="1"/>
    <x v="0"/>
    <x v="0"/>
    <x v="0"/>
    <x v="0"/>
    <n v="5"/>
    <n v="60"/>
  </r>
  <r>
    <n v="3277"/>
    <x v="46"/>
    <x v="2"/>
    <d v="2024-04-12T00:00:00"/>
    <x v="1"/>
    <n v="10"/>
    <x v="0"/>
    <x v="1"/>
    <x v="1"/>
    <x v="0"/>
    <x v="0"/>
    <n v="10"/>
    <n v="20"/>
  </r>
  <r>
    <n v="3278"/>
    <x v="47"/>
    <x v="1"/>
    <d v="2024-04-13T00:00:00"/>
    <x v="0"/>
    <n v="5"/>
    <x v="2"/>
    <x v="1"/>
    <x v="1"/>
    <x v="1"/>
    <x v="1"/>
    <n v="0"/>
    <n v="5"/>
  </r>
  <r>
    <n v="3279"/>
    <x v="48"/>
    <x v="0"/>
    <d v="2024-04-14T00:00:00"/>
    <x v="1"/>
    <n v="15"/>
    <x v="0"/>
    <x v="0"/>
    <x v="0"/>
    <x v="0"/>
    <x v="0"/>
    <n v="3"/>
    <n v="62"/>
  </r>
  <r>
    <n v="3280"/>
    <x v="49"/>
    <x v="2"/>
    <d v="2024-04-15T00:00:00"/>
    <x v="0"/>
    <n v="10"/>
    <x v="1"/>
    <x v="1"/>
    <x v="1"/>
    <x v="0"/>
    <x v="0"/>
    <n v="15"/>
    <n v="15"/>
  </r>
  <r>
    <n v="3281"/>
    <x v="50"/>
    <x v="1"/>
    <d v="2024-04-16T00:00:00"/>
    <x v="1"/>
    <n v="5"/>
    <x v="0"/>
    <x v="1"/>
    <x v="1"/>
    <x v="1"/>
    <x v="1"/>
    <n v="1"/>
    <n v="4"/>
  </r>
  <r>
    <n v="3282"/>
    <x v="51"/>
    <x v="0"/>
    <d v="2024-04-17T00:00:00"/>
    <x v="0"/>
    <n v="15"/>
    <x v="2"/>
    <x v="0"/>
    <x v="0"/>
    <x v="0"/>
    <x v="0"/>
    <n v="7"/>
    <n v="58"/>
  </r>
  <r>
    <n v="3283"/>
    <x v="52"/>
    <x v="2"/>
    <d v="2024-04-18T00:00:00"/>
    <x v="1"/>
    <n v="10"/>
    <x v="0"/>
    <x v="1"/>
    <x v="1"/>
    <x v="0"/>
    <x v="0"/>
    <n v="10"/>
    <n v="20"/>
  </r>
  <r>
    <n v="3284"/>
    <x v="53"/>
    <x v="1"/>
    <d v="2024-04-19T00:00:00"/>
    <x v="0"/>
    <n v="5"/>
    <x v="1"/>
    <x v="1"/>
    <x v="1"/>
    <x v="1"/>
    <x v="1"/>
    <n v="0"/>
    <n v="5"/>
  </r>
  <r>
    <n v="3285"/>
    <x v="54"/>
    <x v="0"/>
    <d v="2024-04-20T00:00:00"/>
    <x v="1"/>
    <n v="15"/>
    <x v="0"/>
    <x v="0"/>
    <x v="0"/>
    <x v="0"/>
    <x v="0"/>
    <n v="20"/>
    <n v="45"/>
  </r>
  <r>
    <n v="3286"/>
    <x v="55"/>
    <x v="2"/>
    <d v="2024-04-21T00:00:00"/>
    <x v="0"/>
    <n v="10"/>
    <x v="2"/>
    <x v="1"/>
    <x v="1"/>
    <x v="0"/>
    <x v="0"/>
    <n v="15"/>
    <n v="15"/>
  </r>
  <r>
    <n v="3287"/>
    <x v="56"/>
    <x v="1"/>
    <d v="2024-04-22T00:00:00"/>
    <x v="1"/>
    <n v="5"/>
    <x v="0"/>
    <x v="1"/>
    <x v="1"/>
    <x v="1"/>
    <x v="1"/>
    <n v="1"/>
    <n v="4"/>
  </r>
  <r>
    <n v="3288"/>
    <x v="57"/>
    <x v="0"/>
    <d v="2024-04-23T00:00:00"/>
    <x v="0"/>
    <n v="15"/>
    <x v="1"/>
    <x v="0"/>
    <x v="0"/>
    <x v="0"/>
    <x v="0"/>
    <n v="3"/>
    <n v="62"/>
  </r>
  <r>
    <n v="3289"/>
    <x v="58"/>
    <x v="2"/>
    <d v="2024-04-24T00:00:00"/>
    <x v="1"/>
    <n v="10"/>
    <x v="0"/>
    <x v="1"/>
    <x v="1"/>
    <x v="0"/>
    <x v="0"/>
    <n v="10"/>
    <n v="20"/>
  </r>
  <r>
    <n v="3290"/>
    <x v="59"/>
    <x v="1"/>
    <d v="2024-04-25T00:00:00"/>
    <x v="0"/>
    <n v="5"/>
    <x v="2"/>
    <x v="1"/>
    <x v="1"/>
    <x v="1"/>
    <x v="1"/>
    <n v="0"/>
    <n v="5"/>
  </r>
  <r>
    <n v="3291"/>
    <x v="60"/>
    <x v="0"/>
    <d v="2024-04-26T00:00:00"/>
    <x v="1"/>
    <n v="15"/>
    <x v="0"/>
    <x v="0"/>
    <x v="0"/>
    <x v="0"/>
    <x v="0"/>
    <n v="5"/>
    <n v="60"/>
  </r>
  <r>
    <n v="3292"/>
    <x v="61"/>
    <x v="2"/>
    <d v="2024-04-27T00:00:00"/>
    <x v="0"/>
    <n v="10"/>
    <x v="1"/>
    <x v="1"/>
    <x v="1"/>
    <x v="0"/>
    <x v="0"/>
    <n v="15"/>
    <n v="15"/>
  </r>
  <r>
    <n v="3293"/>
    <x v="62"/>
    <x v="1"/>
    <d v="2024-04-28T00:00:00"/>
    <x v="1"/>
    <n v="5"/>
    <x v="0"/>
    <x v="1"/>
    <x v="1"/>
    <x v="1"/>
    <x v="1"/>
    <n v="1"/>
    <n v="4"/>
  </r>
  <r>
    <n v="3294"/>
    <x v="63"/>
    <x v="0"/>
    <d v="2024-04-29T00:00:00"/>
    <x v="0"/>
    <n v="15"/>
    <x v="2"/>
    <x v="0"/>
    <x v="0"/>
    <x v="0"/>
    <x v="0"/>
    <n v="20"/>
    <n v="45"/>
  </r>
  <r>
    <n v="3295"/>
    <x v="64"/>
    <x v="2"/>
    <d v="2024-04-30T00:00:00"/>
    <x v="1"/>
    <n v="10"/>
    <x v="0"/>
    <x v="1"/>
    <x v="1"/>
    <x v="0"/>
    <x v="0"/>
    <n v="5"/>
    <n v="25"/>
  </r>
  <r>
    <n v="3296"/>
    <x v="65"/>
    <x v="1"/>
    <d v="2024-05-01T00:00:00"/>
    <x v="1"/>
    <n v="5"/>
    <x v="0"/>
    <x v="1"/>
    <x v="1"/>
    <x v="1"/>
    <x v="1"/>
    <n v="0"/>
    <n v="5"/>
  </r>
  <r>
    <n v="3297"/>
    <x v="66"/>
    <x v="0"/>
    <d v="2024-05-02T00:00:00"/>
    <x v="0"/>
    <n v="15"/>
    <x v="2"/>
    <x v="0"/>
    <x v="0"/>
    <x v="0"/>
    <x v="0"/>
    <n v="7"/>
    <n v="58"/>
  </r>
  <r>
    <n v="3298"/>
    <x v="67"/>
    <x v="2"/>
    <d v="2024-05-03T00:00:00"/>
    <x v="1"/>
    <n v="10"/>
    <x v="1"/>
    <x v="1"/>
    <x v="1"/>
    <x v="0"/>
    <x v="0"/>
    <n v="10"/>
    <n v="20"/>
  </r>
  <r>
    <n v="3299"/>
    <x v="68"/>
    <x v="1"/>
    <d v="2024-05-04T00:00:00"/>
    <x v="0"/>
    <n v="5"/>
    <x v="2"/>
    <x v="1"/>
    <x v="1"/>
    <x v="1"/>
    <x v="1"/>
    <n v="1"/>
    <n v="4"/>
  </r>
  <r>
    <n v="3300"/>
    <x v="69"/>
    <x v="0"/>
    <d v="2024-05-05T00:00:00"/>
    <x v="1"/>
    <n v="15"/>
    <x v="0"/>
    <x v="0"/>
    <x v="0"/>
    <x v="0"/>
    <x v="0"/>
    <n v="15"/>
    <n v="50"/>
  </r>
  <r>
    <n v="3301"/>
    <x v="70"/>
    <x v="2"/>
    <d v="2024-05-06T00:00:00"/>
    <x v="0"/>
    <n v="10"/>
    <x v="0"/>
    <x v="1"/>
    <x v="1"/>
    <x v="0"/>
    <x v="0"/>
    <n v="5"/>
    <n v="25"/>
  </r>
  <r>
    <n v="3302"/>
    <x v="71"/>
    <x v="1"/>
    <d v="2024-05-07T00:00:00"/>
    <x v="1"/>
    <n v="5"/>
    <x v="1"/>
    <x v="1"/>
    <x v="1"/>
    <x v="1"/>
    <x v="1"/>
    <n v="0"/>
    <n v="5"/>
  </r>
  <r>
    <n v="3303"/>
    <x v="72"/>
    <x v="0"/>
    <d v="2024-05-08T00:00:00"/>
    <x v="0"/>
    <n v="15"/>
    <x v="2"/>
    <x v="0"/>
    <x v="0"/>
    <x v="0"/>
    <x v="0"/>
    <n v="20"/>
    <n v="45"/>
  </r>
  <r>
    <n v="3304"/>
    <x v="73"/>
    <x v="2"/>
    <d v="2024-05-09T00:00:00"/>
    <x v="1"/>
    <n v="10"/>
    <x v="2"/>
    <x v="1"/>
    <x v="1"/>
    <x v="0"/>
    <x v="0"/>
    <n v="12"/>
    <n v="18"/>
  </r>
  <r>
    <n v="3305"/>
    <x v="74"/>
    <x v="1"/>
    <d v="2024-05-10T00:00:00"/>
    <x v="0"/>
    <n v="5"/>
    <x v="0"/>
    <x v="1"/>
    <x v="1"/>
    <x v="1"/>
    <x v="1"/>
    <n v="2"/>
    <n v="3"/>
  </r>
  <r>
    <n v="3306"/>
    <x v="75"/>
    <x v="0"/>
    <d v="2024-05-11T00:00:00"/>
    <x v="1"/>
    <n v="15"/>
    <x v="1"/>
    <x v="0"/>
    <x v="0"/>
    <x v="0"/>
    <x v="0"/>
    <n v="5"/>
    <n v="60"/>
  </r>
  <r>
    <n v="3307"/>
    <x v="76"/>
    <x v="2"/>
    <d v="2024-05-12T00:00:00"/>
    <x v="0"/>
    <n v="10"/>
    <x v="0"/>
    <x v="1"/>
    <x v="1"/>
    <x v="0"/>
    <x v="0"/>
    <n v="10"/>
    <n v="20"/>
  </r>
  <r>
    <n v="3308"/>
    <x v="77"/>
    <x v="1"/>
    <d v="2024-05-13T00:00:00"/>
    <x v="1"/>
    <n v="5"/>
    <x v="2"/>
    <x v="1"/>
    <x v="1"/>
    <x v="1"/>
    <x v="1"/>
    <n v="0"/>
    <n v="5"/>
  </r>
  <r>
    <n v="3309"/>
    <x v="78"/>
    <x v="0"/>
    <d v="2024-05-14T00:00:00"/>
    <x v="0"/>
    <n v="15"/>
    <x v="0"/>
    <x v="0"/>
    <x v="0"/>
    <x v="0"/>
    <x v="0"/>
    <n v="3"/>
    <n v="62"/>
  </r>
  <r>
    <n v="3310"/>
    <x v="79"/>
    <x v="2"/>
    <d v="2024-05-15T00:00:00"/>
    <x v="1"/>
    <n v="10"/>
    <x v="1"/>
    <x v="1"/>
    <x v="1"/>
    <x v="0"/>
    <x v="0"/>
    <n v="15"/>
    <n v="15"/>
  </r>
  <r>
    <n v="3311"/>
    <x v="80"/>
    <x v="1"/>
    <d v="2024-05-16T00:00:00"/>
    <x v="0"/>
    <n v="5"/>
    <x v="0"/>
    <x v="1"/>
    <x v="1"/>
    <x v="1"/>
    <x v="1"/>
    <n v="1"/>
    <n v="4"/>
  </r>
  <r>
    <n v="3312"/>
    <x v="81"/>
    <x v="0"/>
    <d v="2024-05-17T00:00:00"/>
    <x v="1"/>
    <n v="15"/>
    <x v="2"/>
    <x v="0"/>
    <x v="0"/>
    <x v="0"/>
    <x v="0"/>
    <n v="7"/>
    <n v="58"/>
  </r>
  <r>
    <n v="3313"/>
    <x v="82"/>
    <x v="2"/>
    <d v="2024-05-18T00:00:00"/>
    <x v="0"/>
    <n v="10"/>
    <x v="0"/>
    <x v="1"/>
    <x v="1"/>
    <x v="0"/>
    <x v="0"/>
    <n v="10"/>
    <n v="20"/>
  </r>
  <r>
    <n v="3314"/>
    <x v="83"/>
    <x v="1"/>
    <d v="2024-05-19T00:00:00"/>
    <x v="1"/>
    <n v="5"/>
    <x v="1"/>
    <x v="1"/>
    <x v="1"/>
    <x v="1"/>
    <x v="1"/>
    <n v="0"/>
    <n v="5"/>
  </r>
  <r>
    <n v="3315"/>
    <x v="84"/>
    <x v="0"/>
    <d v="2024-05-20T00:00:00"/>
    <x v="0"/>
    <n v="15"/>
    <x v="0"/>
    <x v="0"/>
    <x v="0"/>
    <x v="0"/>
    <x v="0"/>
    <n v="20"/>
    <n v="45"/>
  </r>
  <r>
    <n v="3316"/>
    <x v="85"/>
    <x v="2"/>
    <d v="2024-05-21T00:00:00"/>
    <x v="1"/>
    <n v="10"/>
    <x v="2"/>
    <x v="1"/>
    <x v="1"/>
    <x v="0"/>
    <x v="0"/>
    <n v="15"/>
    <n v="15"/>
  </r>
  <r>
    <n v="3317"/>
    <x v="86"/>
    <x v="1"/>
    <d v="2024-05-22T00:00:00"/>
    <x v="0"/>
    <n v="5"/>
    <x v="0"/>
    <x v="1"/>
    <x v="1"/>
    <x v="1"/>
    <x v="1"/>
    <n v="1"/>
    <n v="4"/>
  </r>
  <r>
    <n v="3318"/>
    <x v="87"/>
    <x v="0"/>
    <d v="2024-05-23T00:00:00"/>
    <x v="1"/>
    <n v="15"/>
    <x v="1"/>
    <x v="0"/>
    <x v="0"/>
    <x v="0"/>
    <x v="0"/>
    <n v="3"/>
    <n v="62"/>
  </r>
  <r>
    <n v="3319"/>
    <x v="88"/>
    <x v="2"/>
    <d v="2024-05-24T00:00:00"/>
    <x v="0"/>
    <n v="10"/>
    <x v="0"/>
    <x v="1"/>
    <x v="1"/>
    <x v="0"/>
    <x v="0"/>
    <n v="10"/>
    <n v="20"/>
  </r>
  <r>
    <n v="3320"/>
    <x v="89"/>
    <x v="1"/>
    <d v="2024-05-25T00:00:00"/>
    <x v="1"/>
    <n v="5"/>
    <x v="2"/>
    <x v="1"/>
    <x v="1"/>
    <x v="1"/>
    <x v="1"/>
    <n v="0"/>
    <n v="5"/>
  </r>
  <r>
    <n v="3321"/>
    <x v="90"/>
    <x v="0"/>
    <d v="2024-05-26T00:00:00"/>
    <x v="0"/>
    <n v="15"/>
    <x v="0"/>
    <x v="0"/>
    <x v="0"/>
    <x v="0"/>
    <x v="0"/>
    <n v="5"/>
    <n v="60"/>
  </r>
  <r>
    <n v="3322"/>
    <x v="91"/>
    <x v="2"/>
    <d v="2024-05-27T00:00:00"/>
    <x v="1"/>
    <n v="10"/>
    <x v="1"/>
    <x v="1"/>
    <x v="1"/>
    <x v="0"/>
    <x v="0"/>
    <n v="15"/>
    <n v="15"/>
  </r>
  <r>
    <n v="3323"/>
    <x v="92"/>
    <x v="1"/>
    <d v="2024-05-28T00:00:00"/>
    <x v="0"/>
    <n v="5"/>
    <x v="0"/>
    <x v="1"/>
    <x v="1"/>
    <x v="1"/>
    <x v="1"/>
    <n v="1"/>
    <n v="4"/>
  </r>
  <r>
    <n v="3324"/>
    <x v="93"/>
    <x v="0"/>
    <d v="2024-05-29T00:00:00"/>
    <x v="1"/>
    <n v="15"/>
    <x v="2"/>
    <x v="0"/>
    <x v="0"/>
    <x v="0"/>
    <x v="0"/>
    <n v="20"/>
    <n v="45"/>
  </r>
  <r>
    <n v="3325"/>
    <x v="94"/>
    <x v="2"/>
    <d v="2024-05-30T00:00:00"/>
    <x v="0"/>
    <n v="10"/>
    <x v="2"/>
    <x v="1"/>
    <x v="1"/>
    <x v="0"/>
    <x v="0"/>
    <n v="15"/>
    <n v="15"/>
  </r>
  <r>
    <n v="3326"/>
    <x v="95"/>
    <x v="1"/>
    <d v="2024-05-31T00:00:00"/>
    <x v="1"/>
    <n v="5"/>
    <x v="1"/>
    <x v="1"/>
    <x v="1"/>
    <x v="1"/>
    <x v="1"/>
    <n v="0"/>
    <n v="5"/>
  </r>
  <r>
    <n v="3327"/>
    <x v="96"/>
    <x v="0"/>
    <d v="2024-06-01T00:00:00"/>
    <x v="0"/>
    <n v="15"/>
    <x v="0"/>
    <x v="0"/>
    <x v="0"/>
    <x v="0"/>
    <x v="0"/>
    <n v="7"/>
    <n v="58"/>
  </r>
  <r>
    <n v="3328"/>
    <x v="97"/>
    <x v="2"/>
    <d v="2024-06-02T00:00:00"/>
    <x v="1"/>
    <n v="10"/>
    <x v="1"/>
    <x v="1"/>
    <x v="1"/>
    <x v="0"/>
    <x v="0"/>
    <n v="10"/>
    <n v="20"/>
  </r>
  <r>
    <n v="3329"/>
    <x v="98"/>
    <x v="1"/>
    <d v="2024-06-03T00:00:00"/>
    <x v="0"/>
    <n v="5"/>
    <x v="2"/>
    <x v="1"/>
    <x v="1"/>
    <x v="1"/>
    <x v="1"/>
    <n v="1"/>
    <n v="4"/>
  </r>
  <r>
    <n v="3330"/>
    <x v="99"/>
    <x v="0"/>
    <d v="2024-06-04T00:00:00"/>
    <x v="1"/>
    <n v="15"/>
    <x v="0"/>
    <x v="0"/>
    <x v="0"/>
    <x v="0"/>
    <x v="0"/>
    <n v="15"/>
    <n v="50"/>
  </r>
  <r>
    <n v="3331"/>
    <x v="100"/>
    <x v="2"/>
    <d v="2024-06-05T00:00:00"/>
    <x v="0"/>
    <n v="10"/>
    <x v="0"/>
    <x v="1"/>
    <x v="1"/>
    <x v="0"/>
    <x v="0"/>
    <n v="5"/>
    <n v="25"/>
  </r>
  <r>
    <n v="3332"/>
    <x v="101"/>
    <x v="1"/>
    <d v="2024-06-06T00:00:00"/>
    <x v="1"/>
    <n v="5"/>
    <x v="1"/>
    <x v="1"/>
    <x v="1"/>
    <x v="1"/>
    <x v="1"/>
    <n v="0"/>
    <n v="5"/>
  </r>
  <r>
    <n v="3333"/>
    <x v="102"/>
    <x v="0"/>
    <d v="2024-06-07T00:00:00"/>
    <x v="0"/>
    <n v="15"/>
    <x v="2"/>
    <x v="0"/>
    <x v="0"/>
    <x v="0"/>
    <x v="0"/>
    <n v="20"/>
    <n v="45"/>
  </r>
  <r>
    <n v="3334"/>
    <x v="103"/>
    <x v="2"/>
    <d v="2024-06-08T00:00:00"/>
    <x v="1"/>
    <n v="10"/>
    <x v="2"/>
    <x v="1"/>
    <x v="1"/>
    <x v="0"/>
    <x v="0"/>
    <n v="12"/>
    <n v="18"/>
  </r>
  <r>
    <n v="3335"/>
    <x v="104"/>
    <x v="1"/>
    <d v="2024-06-09T00:00:00"/>
    <x v="0"/>
    <n v="5"/>
    <x v="0"/>
    <x v="1"/>
    <x v="1"/>
    <x v="1"/>
    <x v="1"/>
    <n v="2"/>
    <n v="3"/>
  </r>
  <r>
    <n v="3336"/>
    <x v="105"/>
    <x v="1"/>
    <d v="2024-06-10T00:00:00"/>
    <x v="0"/>
    <n v="5"/>
    <x v="0"/>
    <x v="1"/>
    <x v="1"/>
    <x v="1"/>
    <x v="1"/>
    <n v="0"/>
    <n v="5"/>
  </r>
  <r>
    <n v="3337"/>
    <x v="106"/>
    <x v="0"/>
    <d v="2024-06-11T00:00:00"/>
    <x v="1"/>
    <n v="15"/>
    <x v="2"/>
    <x v="0"/>
    <x v="0"/>
    <x v="0"/>
    <x v="0"/>
    <n v="7"/>
    <n v="58"/>
  </r>
  <r>
    <n v="3338"/>
    <x v="107"/>
    <x v="2"/>
    <d v="2024-06-12T00:00:00"/>
    <x v="0"/>
    <n v="10"/>
    <x v="1"/>
    <x v="1"/>
    <x v="1"/>
    <x v="0"/>
    <x v="0"/>
    <n v="10"/>
    <n v="20"/>
  </r>
  <r>
    <n v="3339"/>
    <x v="108"/>
    <x v="1"/>
    <d v="2024-06-13T00:00:00"/>
    <x v="1"/>
    <n v="5"/>
    <x v="2"/>
    <x v="1"/>
    <x v="1"/>
    <x v="1"/>
    <x v="1"/>
    <n v="1"/>
    <n v="4"/>
  </r>
  <r>
    <n v="3340"/>
    <x v="109"/>
    <x v="0"/>
    <d v="2024-06-14T00:00:00"/>
    <x v="0"/>
    <n v="15"/>
    <x v="0"/>
    <x v="0"/>
    <x v="0"/>
    <x v="0"/>
    <x v="0"/>
    <n v="15"/>
    <n v="50"/>
  </r>
  <r>
    <n v="3341"/>
    <x v="110"/>
    <x v="2"/>
    <d v="2024-06-15T00:00:00"/>
    <x v="1"/>
    <n v="10"/>
    <x v="0"/>
    <x v="1"/>
    <x v="1"/>
    <x v="0"/>
    <x v="0"/>
    <n v="5"/>
    <n v="25"/>
  </r>
  <r>
    <n v="3342"/>
    <x v="111"/>
    <x v="1"/>
    <d v="2024-06-16T00:00:00"/>
    <x v="0"/>
    <n v="5"/>
    <x v="1"/>
    <x v="1"/>
    <x v="1"/>
    <x v="1"/>
    <x v="1"/>
    <n v="0"/>
    <n v="5"/>
  </r>
  <r>
    <n v="3343"/>
    <x v="112"/>
    <x v="0"/>
    <d v="2024-06-17T00:00:00"/>
    <x v="1"/>
    <n v="15"/>
    <x v="2"/>
    <x v="0"/>
    <x v="0"/>
    <x v="0"/>
    <x v="0"/>
    <n v="20"/>
    <n v="45"/>
  </r>
  <r>
    <n v="3344"/>
    <x v="113"/>
    <x v="2"/>
    <d v="2024-06-18T00:00:00"/>
    <x v="0"/>
    <n v="10"/>
    <x v="2"/>
    <x v="1"/>
    <x v="1"/>
    <x v="0"/>
    <x v="0"/>
    <n v="12"/>
    <n v="18"/>
  </r>
  <r>
    <n v="3345"/>
    <x v="114"/>
    <x v="1"/>
    <d v="2024-06-19T00:00:00"/>
    <x v="1"/>
    <n v="5"/>
    <x v="0"/>
    <x v="1"/>
    <x v="1"/>
    <x v="1"/>
    <x v="1"/>
    <n v="2"/>
    <n v="3"/>
  </r>
  <r>
    <n v="3346"/>
    <x v="115"/>
    <x v="0"/>
    <d v="2024-06-20T00:00:00"/>
    <x v="0"/>
    <n v="15"/>
    <x v="1"/>
    <x v="0"/>
    <x v="0"/>
    <x v="0"/>
    <x v="0"/>
    <n v="5"/>
    <n v="60"/>
  </r>
  <r>
    <n v="3347"/>
    <x v="116"/>
    <x v="2"/>
    <d v="2024-06-21T00:00:00"/>
    <x v="1"/>
    <n v="10"/>
    <x v="0"/>
    <x v="1"/>
    <x v="1"/>
    <x v="0"/>
    <x v="0"/>
    <n v="10"/>
    <n v="20"/>
  </r>
  <r>
    <n v="3348"/>
    <x v="117"/>
    <x v="1"/>
    <d v="2024-06-22T00:00:00"/>
    <x v="0"/>
    <n v="5"/>
    <x v="2"/>
    <x v="1"/>
    <x v="1"/>
    <x v="1"/>
    <x v="1"/>
    <n v="0"/>
    <n v="5"/>
  </r>
  <r>
    <n v="3349"/>
    <x v="93"/>
    <x v="0"/>
    <d v="2024-06-23T00:00:00"/>
    <x v="1"/>
    <n v="15"/>
    <x v="0"/>
    <x v="0"/>
    <x v="0"/>
    <x v="0"/>
    <x v="0"/>
    <n v="3"/>
    <n v="62"/>
  </r>
  <r>
    <n v="3350"/>
    <x v="118"/>
    <x v="2"/>
    <d v="2024-06-24T00:00:00"/>
    <x v="0"/>
    <n v="10"/>
    <x v="1"/>
    <x v="1"/>
    <x v="1"/>
    <x v="0"/>
    <x v="0"/>
    <n v="15"/>
    <n v="15"/>
  </r>
  <r>
    <n v="3351"/>
    <x v="119"/>
    <x v="1"/>
    <d v="2024-06-25T00:00:00"/>
    <x v="1"/>
    <n v="5"/>
    <x v="0"/>
    <x v="1"/>
    <x v="1"/>
    <x v="1"/>
    <x v="1"/>
    <n v="1"/>
    <n v="4"/>
  </r>
  <r>
    <n v="3352"/>
    <x v="120"/>
    <x v="0"/>
    <d v="2024-06-26T00:00:00"/>
    <x v="0"/>
    <n v="15"/>
    <x v="2"/>
    <x v="0"/>
    <x v="0"/>
    <x v="0"/>
    <x v="0"/>
    <n v="7"/>
    <n v="58"/>
  </r>
  <r>
    <n v="3353"/>
    <x v="121"/>
    <x v="2"/>
    <d v="2024-06-27T00:00:00"/>
    <x v="1"/>
    <n v="10"/>
    <x v="0"/>
    <x v="1"/>
    <x v="1"/>
    <x v="0"/>
    <x v="0"/>
    <n v="10"/>
    <n v="20"/>
  </r>
  <r>
    <n v="3354"/>
    <x v="122"/>
    <x v="1"/>
    <d v="2024-06-28T00:00:00"/>
    <x v="0"/>
    <n v="5"/>
    <x v="1"/>
    <x v="1"/>
    <x v="1"/>
    <x v="1"/>
    <x v="1"/>
    <n v="0"/>
    <n v="5"/>
  </r>
  <r>
    <n v="3355"/>
    <x v="123"/>
    <x v="0"/>
    <d v="2024-06-29T00:00:00"/>
    <x v="1"/>
    <n v="15"/>
    <x v="0"/>
    <x v="0"/>
    <x v="0"/>
    <x v="0"/>
    <x v="0"/>
    <n v="20"/>
    <n v="45"/>
  </r>
  <r>
    <n v="3356"/>
    <x v="124"/>
    <x v="2"/>
    <d v="2024-06-30T00:00:00"/>
    <x v="0"/>
    <n v="10"/>
    <x v="2"/>
    <x v="1"/>
    <x v="1"/>
    <x v="0"/>
    <x v="0"/>
    <n v="15"/>
    <n v="15"/>
  </r>
  <r>
    <n v="3357"/>
    <x v="125"/>
    <x v="1"/>
    <d v="2024-07-01T00:00:00"/>
    <x v="1"/>
    <n v="5"/>
    <x v="0"/>
    <x v="1"/>
    <x v="1"/>
    <x v="1"/>
    <x v="1"/>
    <n v="1"/>
    <n v="4"/>
  </r>
  <r>
    <n v="3358"/>
    <x v="126"/>
    <x v="0"/>
    <d v="2024-07-02T00:00:00"/>
    <x v="0"/>
    <n v="15"/>
    <x v="1"/>
    <x v="0"/>
    <x v="0"/>
    <x v="0"/>
    <x v="0"/>
    <n v="3"/>
    <n v="62"/>
  </r>
  <r>
    <n v="3359"/>
    <x v="127"/>
    <x v="2"/>
    <d v="2024-07-03T00:00:00"/>
    <x v="1"/>
    <n v="10"/>
    <x v="0"/>
    <x v="1"/>
    <x v="1"/>
    <x v="0"/>
    <x v="0"/>
    <n v="10"/>
    <n v="20"/>
  </r>
  <r>
    <n v="3360"/>
    <x v="128"/>
    <x v="1"/>
    <d v="2024-07-04T00:00:00"/>
    <x v="0"/>
    <n v="5"/>
    <x v="2"/>
    <x v="1"/>
    <x v="1"/>
    <x v="1"/>
    <x v="1"/>
    <n v="0"/>
    <n v="5"/>
  </r>
  <r>
    <n v="3361"/>
    <x v="129"/>
    <x v="0"/>
    <d v="2024-07-05T00:00:00"/>
    <x v="1"/>
    <n v="15"/>
    <x v="0"/>
    <x v="0"/>
    <x v="0"/>
    <x v="0"/>
    <x v="0"/>
    <n v="15"/>
    <n v="50"/>
  </r>
  <r>
    <n v="3362"/>
    <x v="130"/>
    <x v="2"/>
    <d v="2024-07-06T00:00:00"/>
    <x v="0"/>
    <n v="10"/>
    <x v="1"/>
    <x v="1"/>
    <x v="1"/>
    <x v="0"/>
    <x v="0"/>
    <n v="15"/>
    <n v="15"/>
  </r>
  <r>
    <n v="3363"/>
    <x v="131"/>
    <x v="1"/>
    <d v="2024-07-07T00:00:00"/>
    <x v="1"/>
    <n v="5"/>
    <x v="0"/>
    <x v="1"/>
    <x v="1"/>
    <x v="1"/>
    <x v="1"/>
    <n v="1"/>
    <n v="4"/>
  </r>
  <r>
    <n v="3364"/>
    <x v="132"/>
    <x v="0"/>
    <d v="2024-07-08T00:00:00"/>
    <x v="0"/>
    <n v="15"/>
    <x v="2"/>
    <x v="0"/>
    <x v="0"/>
    <x v="0"/>
    <x v="0"/>
    <n v="7"/>
    <n v="58"/>
  </r>
  <r>
    <n v="3365"/>
    <x v="133"/>
    <x v="2"/>
    <d v="2024-07-09T00:00:00"/>
    <x v="1"/>
    <n v="10"/>
    <x v="0"/>
    <x v="1"/>
    <x v="1"/>
    <x v="0"/>
    <x v="0"/>
    <n v="10"/>
    <n v="20"/>
  </r>
  <r>
    <n v="3366"/>
    <x v="134"/>
    <x v="1"/>
    <d v="2024-07-10T00:00:00"/>
    <x v="0"/>
    <n v="5"/>
    <x v="0"/>
    <x v="1"/>
    <x v="1"/>
    <x v="1"/>
    <x v="1"/>
    <n v="0"/>
    <n v="5"/>
  </r>
  <r>
    <n v="3367"/>
    <x v="135"/>
    <x v="0"/>
    <d v="2024-07-11T00:00:00"/>
    <x v="1"/>
    <n v="15"/>
    <x v="2"/>
    <x v="0"/>
    <x v="0"/>
    <x v="0"/>
    <x v="0"/>
    <n v="7"/>
    <n v="58"/>
  </r>
  <r>
    <n v="3368"/>
    <x v="136"/>
    <x v="2"/>
    <d v="2024-07-12T00:00:00"/>
    <x v="0"/>
    <n v="10"/>
    <x v="1"/>
    <x v="1"/>
    <x v="1"/>
    <x v="0"/>
    <x v="0"/>
    <n v="10"/>
    <n v="20"/>
  </r>
  <r>
    <n v="3369"/>
    <x v="137"/>
    <x v="1"/>
    <d v="2024-07-13T00:00:00"/>
    <x v="1"/>
    <n v="5"/>
    <x v="2"/>
    <x v="1"/>
    <x v="1"/>
    <x v="1"/>
    <x v="1"/>
    <n v="1"/>
    <n v="4"/>
  </r>
  <r>
    <n v="3370"/>
    <x v="138"/>
    <x v="0"/>
    <d v="2024-07-14T00:00:00"/>
    <x v="0"/>
    <n v="15"/>
    <x v="0"/>
    <x v="0"/>
    <x v="0"/>
    <x v="0"/>
    <x v="0"/>
    <n v="15"/>
    <n v="50"/>
  </r>
  <r>
    <n v="3371"/>
    <x v="139"/>
    <x v="2"/>
    <d v="2024-07-15T00:00:00"/>
    <x v="1"/>
    <n v="10"/>
    <x v="0"/>
    <x v="1"/>
    <x v="1"/>
    <x v="0"/>
    <x v="0"/>
    <n v="5"/>
    <n v="25"/>
  </r>
  <r>
    <n v="3372"/>
    <x v="140"/>
    <x v="1"/>
    <d v="2024-07-16T00:00:00"/>
    <x v="0"/>
    <n v="5"/>
    <x v="1"/>
    <x v="1"/>
    <x v="1"/>
    <x v="1"/>
    <x v="1"/>
    <n v="0"/>
    <n v="5"/>
  </r>
  <r>
    <n v="3373"/>
    <x v="141"/>
    <x v="0"/>
    <d v="2024-07-17T00:00:00"/>
    <x v="1"/>
    <n v="15"/>
    <x v="2"/>
    <x v="0"/>
    <x v="0"/>
    <x v="0"/>
    <x v="0"/>
    <n v="20"/>
    <n v="45"/>
  </r>
  <r>
    <n v="3374"/>
    <x v="142"/>
    <x v="2"/>
    <d v="2024-07-18T00:00:00"/>
    <x v="0"/>
    <n v="10"/>
    <x v="2"/>
    <x v="1"/>
    <x v="1"/>
    <x v="0"/>
    <x v="0"/>
    <n v="12"/>
    <n v="18"/>
  </r>
  <r>
    <n v="3375"/>
    <x v="143"/>
    <x v="1"/>
    <d v="2024-07-19T00:00:00"/>
    <x v="1"/>
    <n v="5"/>
    <x v="0"/>
    <x v="1"/>
    <x v="1"/>
    <x v="1"/>
    <x v="1"/>
    <n v="2"/>
    <n v="3"/>
  </r>
  <r>
    <n v="3376"/>
    <x v="144"/>
    <x v="0"/>
    <d v="2024-07-20T00:00:00"/>
    <x v="0"/>
    <n v="15"/>
    <x v="1"/>
    <x v="0"/>
    <x v="0"/>
    <x v="0"/>
    <x v="0"/>
    <n v="5"/>
    <n v="60"/>
  </r>
  <r>
    <n v="3377"/>
    <x v="145"/>
    <x v="2"/>
    <d v="2024-07-21T00:00:00"/>
    <x v="1"/>
    <n v="10"/>
    <x v="0"/>
    <x v="1"/>
    <x v="1"/>
    <x v="0"/>
    <x v="0"/>
    <n v="10"/>
    <n v="20"/>
  </r>
  <r>
    <n v="3378"/>
    <x v="146"/>
    <x v="1"/>
    <d v="2024-07-22T00:00:00"/>
    <x v="0"/>
    <n v="5"/>
    <x v="2"/>
    <x v="1"/>
    <x v="1"/>
    <x v="1"/>
    <x v="1"/>
    <n v="0"/>
    <n v="5"/>
  </r>
  <r>
    <n v="3379"/>
    <x v="147"/>
    <x v="0"/>
    <d v="2024-07-23T00:00:00"/>
    <x v="1"/>
    <n v="15"/>
    <x v="0"/>
    <x v="0"/>
    <x v="0"/>
    <x v="0"/>
    <x v="0"/>
    <n v="3"/>
    <n v="62"/>
  </r>
  <r>
    <n v="3380"/>
    <x v="148"/>
    <x v="2"/>
    <d v="2024-07-24T00:00:00"/>
    <x v="0"/>
    <n v="10"/>
    <x v="1"/>
    <x v="1"/>
    <x v="1"/>
    <x v="0"/>
    <x v="0"/>
    <n v="15"/>
    <n v="15"/>
  </r>
  <r>
    <n v="3381"/>
    <x v="149"/>
    <x v="1"/>
    <d v="2024-07-25T00:00:00"/>
    <x v="1"/>
    <n v="5"/>
    <x v="0"/>
    <x v="1"/>
    <x v="1"/>
    <x v="1"/>
    <x v="1"/>
    <n v="1"/>
    <n v="4"/>
  </r>
  <r>
    <n v="3382"/>
    <x v="150"/>
    <x v="0"/>
    <d v="2024-07-26T00:00:00"/>
    <x v="0"/>
    <n v="15"/>
    <x v="2"/>
    <x v="0"/>
    <x v="0"/>
    <x v="0"/>
    <x v="0"/>
    <n v="7"/>
    <n v="58"/>
  </r>
  <r>
    <n v="3383"/>
    <x v="151"/>
    <x v="2"/>
    <d v="2024-07-27T00:00:00"/>
    <x v="1"/>
    <n v="10"/>
    <x v="0"/>
    <x v="1"/>
    <x v="1"/>
    <x v="0"/>
    <x v="0"/>
    <n v="10"/>
    <n v="20"/>
  </r>
  <r>
    <n v="3384"/>
    <x v="152"/>
    <x v="1"/>
    <d v="2024-07-28T00:00:00"/>
    <x v="0"/>
    <n v="5"/>
    <x v="1"/>
    <x v="1"/>
    <x v="1"/>
    <x v="1"/>
    <x v="1"/>
    <n v="0"/>
    <n v="5"/>
  </r>
  <r>
    <n v="3385"/>
    <x v="153"/>
    <x v="0"/>
    <d v="2024-07-29T00:00:00"/>
    <x v="1"/>
    <n v="15"/>
    <x v="0"/>
    <x v="0"/>
    <x v="0"/>
    <x v="0"/>
    <x v="0"/>
    <n v="20"/>
    <n v="45"/>
  </r>
  <r>
    <n v="3386"/>
    <x v="154"/>
    <x v="2"/>
    <d v="2024-07-30T00:00:00"/>
    <x v="0"/>
    <n v="10"/>
    <x v="2"/>
    <x v="1"/>
    <x v="1"/>
    <x v="0"/>
    <x v="0"/>
    <n v="15"/>
    <n v="15"/>
  </r>
  <r>
    <n v="3387"/>
    <x v="155"/>
    <x v="1"/>
    <d v="2024-07-31T00:00:00"/>
    <x v="1"/>
    <n v="5"/>
    <x v="0"/>
    <x v="1"/>
    <x v="1"/>
    <x v="1"/>
    <x v="1"/>
    <n v="1"/>
    <n v="4"/>
  </r>
  <r>
    <n v="3388"/>
    <x v="156"/>
    <x v="0"/>
    <d v="2024-08-01T00:00:00"/>
    <x v="0"/>
    <n v="15"/>
    <x v="1"/>
    <x v="0"/>
    <x v="0"/>
    <x v="0"/>
    <x v="0"/>
    <n v="3"/>
    <n v="62"/>
  </r>
  <r>
    <n v="3389"/>
    <x v="157"/>
    <x v="2"/>
    <d v="2024-08-02T00:00:00"/>
    <x v="1"/>
    <n v="10"/>
    <x v="0"/>
    <x v="1"/>
    <x v="1"/>
    <x v="0"/>
    <x v="0"/>
    <n v="10"/>
    <n v="20"/>
  </r>
  <r>
    <n v="3390"/>
    <x v="158"/>
    <x v="1"/>
    <d v="2024-08-03T00:00:00"/>
    <x v="0"/>
    <n v="5"/>
    <x v="2"/>
    <x v="1"/>
    <x v="1"/>
    <x v="1"/>
    <x v="1"/>
    <n v="0"/>
    <n v="5"/>
  </r>
  <r>
    <n v="3391"/>
    <x v="58"/>
    <x v="0"/>
    <d v="2024-08-04T00:00:00"/>
    <x v="1"/>
    <n v="15"/>
    <x v="0"/>
    <x v="0"/>
    <x v="0"/>
    <x v="0"/>
    <x v="0"/>
    <n v="15"/>
    <n v="50"/>
  </r>
  <r>
    <n v="3392"/>
    <x v="159"/>
    <x v="2"/>
    <d v="2024-08-05T00:00:00"/>
    <x v="0"/>
    <n v="10"/>
    <x v="1"/>
    <x v="1"/>
    <x v="1"/>
    <x v="0"/>
    <x v="0"/>
    <n v="15"/>
    <n v="15"/>
  </r>
  <r>
    <n v="3393"/>
    <x v="160"/>
    <x v="1"/>
    <d v="2024-08-06T00:00:00"/>
    <x v="1"/>
    <n v="5"/>
    <x v="0"/>
    <x v="1"/>
    <x v="1"/>
    <x v="1"/>
    <x v="1"/>
    <n v="1"/>
    <n v="4"/>
  </r>
  <r>
    <n v="3394"/>
    <x v="161"/>
    <x v="0"/>
    <d v="2024-08-07T00:00:00"/>
    <x v="0"/>
    <n v="15"/>
    <x v="2"/>
    <x v="0"/>
    <x v="0"/>
    <x v="0"/>
    <x v="0"/>
    <n v="7"/>
    <n v="58"/>
  </r>
  <r>
    <n v="3395"/>
    <x v="162"/>
    <x v="2"/>
    <d v="2024-08-08T00:00:00"/>
    <x v="1"/>
    <n v="10"/>
    <x v="0"/>
    <x v="1"/>
    <x v="1"/>
    <x v="0"/>
    <x v="0"/>
    <n v="10"/>
    <n v="20"/>
  </r>
  <r>
    <n v="3396"/>
    <x v="163"/>
    <x v="1"/>
    <d v="2024-08-09T00:00:00"/>
    <x v="0"/>
    <n v="5"/>
    <x v="1"/>
    <x v="1"/>
    <x v="1"/>
    <x v="1"/>
    <x v="1"/>
    <n v="0"/>
    <n v="5"/>
  </r>
  <r>
    <n v="3397"/>
    <x v="90"/>
    <x v="0"/>
    <d v="2024-08-10T00:00:00"/>
    <x v="1"/>
    <n v="15"/>
    <x v="0"/>
    <x v="0"/>
    <x v="0"/>
    <x v="0"/>
    <x v="0"/>
    <n v="20"/>
    <n v="45"/>
  </r>
  <r>
    <n v="3398"/>
    <x v="164"/>
    <x v="2"/>
    <d v="2024-08-11T00:00:00"/>
    <x v="0"/>
    <n v="10"/>
    <x v="2"/>
    <x v="1"/>
    <x v="1"/>
    <x v="0"/>
    <x v="0"/>
    <n v="15"/>
    <n v="15"/>
  </r>
  <r>
    <n v="3399"/>
    <x v="165"/>
    <x v="1"/>
    <d v="2024-08-12T00:00:00"/>
    <x v="1"/>
    <n v="5"/>
    <x v="0"/>
    <x v="1"/>
    <x v="1"/>
    <x v="1"/>
    <x v="1"/>
    <n v="1"/>
    <n v="4"/>
  </r>
  <r>
    <n v="3400"/>
    <x v="166"/>
    <x v="0"/>
    <d v="2024-08-13T00:00:00"/>
    <x v="0"/>
    <n v="15"/>
    <x v="1"/>
    <x v="0"/>
    <x v="0"/>
    <x v="0"/>
    <x v="0"/>
    <n v="5"/>
    <n v="60"/>
  </r>
  <r>
    <n v="3401"/>
    <x v="167"/>
    <x v="2"/>
    <d v="2024-08-14T00:00:00"/>
    <x v="1"/>
    <n v="10"/>
    <x v="0"/>
    <x v="1"/>
    <x v="1"/>
    <x v="0"/>
    <x v="0"/>
    <n v="10"/>
    <n v="20"/>
  </r>
  <r>
    <n v="3402"/>
    <x v="168"/>
    <x v="1"/>
    <d v="2024-08-15T00:00:00"/>
    <x v="0"/>
    <n v="5"/>
    <x v="2"/>
    <x v="1"/>
    <x v="1"/>
    <x v="1"/>
    <x v="1"/>
    <n v="0"/>
    <n v="5"/>
  </r>
  <r>
    <n v="3403"/>
    <x v="169"/>
    <x v="0"/>
    <d v="2024-08-16T00:00:00"/>
    <x v="1"/>
    <n v="15"/>
    <x v="0"/>
    <x v="0"/>
    <x v="0"/>
    <x v="0"/>
    <x v="0"/>
    <n v="3"/>
    <n v="62"/>
  </r>
  <r>
    <n v="3404"/>
    <x v="170"/>
    <x v="2"/>
    <d v="2024-08-17T00:00:00"/>
    <x v="0"/>
    <n v="10"/>
    <x v="1"/>
    <x v="1"/>
    <x v="1"/>
    <x v="0"/>
    <x v="0"/>
    <n v="15"/>
    <n v="15"/>
  </r>
  <r>
    <n v="3405"/>
    <x v="171"/>
    <x v="1"/>
    <d v="2024-08-18T00:00:00"/>
    <x v="1"/>
    <n v="5"/>
    <x v="0"/>
    <x v="1"/>
    <x v="1"/>
    <x v="1"/>
    <x v="1"/>
    <n v="1"/>
    <n v="4"/>
  </r>
  <r>
    <n v="3406"/>
    <x v="172"/>
    <x v="1"/>
    <d v="2024-08-19T00:00:00"/>
    <x v="0"/>
    <n v="5"/>
    <x v="0"/>
    <x v="1"/>
    <x v="1"/>
    <x v="1"/>
    <x v="1"/>
    <n v="0"/>
    <n v="5"/>
  </r>
  <r>
    <n v="3407"/>
    <x v="173"/>
    <x v="0"/>
    <d v="2024-08-20T00:00:00"/>
    <x v="1"/>
    <n v="15"/>
    <x v="2"/>
    <x v="0"/>
    <x v="0"/>
    <x v="0"/>
    <x v="0"/>
    <n v="7"/>
    <n v="58"/>
  </r>
  <r>
    <n v="3408"/>
    <x v="174"/>
    <x v="2"/>
    <d v="2024-08-21T00:00:00"/>
    <x v="0"/>
    <n v="10"/>
    <x v="1"/>
    <x v="1"/>
    <x v="1"/>
    <x v="0"/>
    <x v="0"/>
    <n v="10"/>
    <n v="20"/>
  </r>
  <r>
    <n v="3409"/>
    <x v="175"/>
    <x v="1"/>
    <d v="2024-08-22T00:00:00"/>
    <x v="1"/>
    <n v="5"/>
    <x v="2"/>
    <x v="1"/>
    <x v="1"/>
    <x v="1"/>
    <x v="1"/>
    <n v="1"/>
    <n v="4"/>
  </r>
  <r>
    <n v="3410"/>
    <x v="176"/>
    <x v="0"/>
    <d v="2024-08-23T00:00:00"/>
    <x v="0"/>
    <n v="15"/>
    <x v="0"/>
    <x v="0"/>
    <x v="0"/>
    <x v="0"/>
    <x v="0"/>
    <n v="15"/>
    <n v="50"/>
  </r>
  <r>
    <n v="3411"/>
    <x v="177"/>
    <x v="2"/>
    <d v="2024-08-24T00:00:00"/>
    <x v="1"/>
    <n v="10"/>
    <x v="0"/>
    <x v="1"/>
    <x v="1"/>
    <x v="0"/>
    <x v="0"/>
    <n v="5"/>
    <n v="25"/>
  </r>
  <r>
    <n v="3412"/>
    <x v="178"/>
    <x v="1"/>
    <d v="2024-08-25T00:00:00"/>
    <x v="0"/>
    <n v="5"/>
    <x v="1"/>
    <x v="1"/>
    <x v="1"/>
    <x v="1"/>
    <x v="1"/>
    <n v="0"/>
    <n v="5"/>
  </r>
  <r>
    <n v="3413"/>
    <x v="179"/>
    <x v="0"/>
    <d v="2024-08-26T00:00:00"/>
    <x v="1"/>
    <n v="15"/>
    <x v="2"/>
    <x v="0"/>
    <x v="0"/>
    <x v="0"/>
    <x v="0"/>
    <n v="20"/>
    <n v="45"/>
  </r>
  <r>
    <n v="3414"/>
    <x v="180"/>
    <x v="2"/>
    <d v="2024-08-27T00:00:00"/>
    <x v="0"/>
    <n v="10"/>
    <x v="2"/>
    <x v="1"/>
    <x v="1"/>
    <x v="0"/>
    <x v="0"/>
    <n v="12"/>
    <n v="18"/>
  </r>
  <r>
    <n v="3415"/>
    <x v="181"/>
    <x v="1"/>
    <d v="2024-08-28T00:00:00"/>
    <x v="1"/>
    <n v="5"/>
    <x v="0"/>
    <x v="1"/>
    <x v="1"/>
    <x v="1"/>
    <x v="1"/>
    <n v="2"/>
    <n v="3"/>
  </r>
  <r>
    <n v="3416"/>
    <x v="182"/>
    <x v="0"/>
    <d v="2024-08-29T00:00:00"/>
    <x v="0"/>
    <n v="15"/>
    <x v="1"/>
    <x v="0"/>
    <x v="0"/>
    <x v="0"/>
    <x v="0"/>
    <n v="5"/>
    <n v="60"/>
  </r>
  <r>
    <n v="3417"/>
    <x v="183"/>
    <x v="2"/>
    <d v="2024-08-30T00:00:00"/>
    <x v="1"/>
    <n v="10"/>
    <x v="0"/>
    <x v="1"/>
    <x v="1"/>
    <x v="0"/>
    <x v="0"/>
    <n v="10"/>
    <n v="20"/>
  </r>
  <r>
    <n v="3418"/>
    <x v="184"/>
    <x v="1"/>
    <d v="2024-08-31T00:00:00"/>
    <x v="0"/>
    <n v="5"/>
    <x v="2"/>
    <x v="1"/>
    <x v="1"/>
    <x v="1"/>
    <x v="1"/>
    <n v="0"/>
    <n v="5"/>
  </r>
  <r>
    <n v="3419"/>
    <x v="185"/>
    <x v="0"/>
    <d v="2024-09-01T00:00:00"/>
    <x v="1"/>
    <n v="15"/>
    <x v="0"/>
    <x v="0"/>
    <x v="0"/>
    <x v="0"/>
    <x v="0"/>
    <n v="3"/>
    <n v="62"/>
  </r>
  <r>
    <n v="3420"/>
    <x v="186"/>
    <x v="2"/>
    <d v="2024-09-02T00:00:00"/>
    <x v="0"/>
    <n v="10"/>
    <x v="1"/>
    <x v="1"/>
    <x v="1"/>
    <x v="0"/>
    <x v="0"/>
    <n v="15"/>
    <n v="15"/>
  </r>
  <r>
    <n v="3421"/>
    <x v="15"/>
    <x v="1"/>
    <d v="2024-09-03T00:00:00"/>
    <x v="1"/>
    <n v="5"/>
    <x v="0"/>
    <x v="1"/>
    <x v="1"/>
    <x v="1"/>
    <x v="1"/>
    <n v="1"/>
    <n v="4"/>
  </r>
  <r>
    <n v="3422"/>
    <x v="187"/>
    <x v="0"/>
    <d v="2024-09-04T00:00:00"/>
    <x v="0"/>
    <n v="15"/>
    <x v="2"/>
    <x v="0"/>
    <x v="0"/>
    <x v="0"/>
    <x v="0"/>
    <n v="7"/>
    <n v="58"/>
  </r>
  <r>
    <n v="3423"/>
    <x v="188"/>
    <x v="2"/>
    <d v="2024-09-05T00:00:00"/>
    <x v="1"/>
    <n v="10"/>
    <x v="0"/>
    <x v="1"/>
    <x v="1"/>
    <x v="0"/>
    <x v="0"/>
    <n v="10"/>
    <n v="20"/>
  </r>
  <r>
    <n v="3424"/>
    <x v="14"/>
    <x v="1"/>
    <d v="2024-09-06T00:00:00"/>
    <x v="0"/>
    <n v="5"/>
    <x v="1"/>
    <x v="1"/>
    <x v="1"/>
    <x v="1"/>
    <x v="1"/>
    <n v="0"/>
    <n v="5"/>
  </r>
  <r>
    <n v="3425"/>
    <x v="189"/>
    <x v="0"/>
    <d v="2024-09-07T00:00:00"/>
    <x v="1"/>
    <n v="15"/>
    <x v="0"/>
    <x v="0"/>
    <x v="0"/>
    <x v="0"/>
    <x v="0"/>
    <n v="20"/>
    <n v="45"/>
  </r>
  <r>
    <n v="3426"/>
    <x v="167"/>
    <x v="2"/>
    <d v="2024-09-08T00:00:00"/>
    <x v="0"/>
    <n v="10"/>
    <x v="2"/>
    <x v="1"/>
    <x v="1"/>
    <x v="0"/>
    <x v="0"/>
    <n v="15"/>
    <n v="15"/>
  </r>
  <r>
    <n v="3427"/>
    <x v="190"/>
    <x v="1"/>
    <d v="2024-09-09T00:00:00"/>
    <x v="1"/>
    <n v="5"/>
    <x v="0"/>
    <x v="1"/>
    <x v="1"/>
    <x v="1"/>
    <x v="1"/>
    <n v="1"/>
    <n v="4"/>
  </r>
  <r>
    <n v="3428"/>
    <x v="191"/>
    <x v="0"/>
    <d v="2024-09-10T00:00:00"/>
    <x v="0"/>
    <n v="15"/>
    <x v="1"/>
    <x v="0"/>
    <x v="0"/>
    <x v="0"/>
    <x v="0"/>
    <n v="3"/>
    <n v="62"/>
  </r>
  <r>
    <n v="3429"/>
    <x v="192"/>
    <x v="2"/>
    <d v="2024-09-11T00:00:00"/>
    <x v="1"/>
    <n v="10"/>
    <x v="0"/>
    <x v="1"/>
    <x v="1"/>
    <x v="0"/>
    <x v="0"/>
    <n v="10"/>
    <n v="20"/>
  </r>
  <r>
    <n v="3430"/>
    <x v="193"/>
    <x v="1"/>
    <d v="2024-09-12T00:00:00"/>
    <x v="0"/>
    <n v="5"/>
    <x v="2"/>
    <x v="1"/>
    <x v="1"/>
    <x v="1"/>
    <x v="1"/>
    <n v="0"/>
    <n v="5"/>
  </r>
  <r>
    <n v="3431"/>
    <x v="194"/>
    <x v="0"/>
    <d v="2024-09-13T00:00:00"/>
    <x v="1"/>
    <n v="15"/>
    <x v="0"/>
    <x v="0"/>
    <x v="0"/>
    <x v="0"/>
    <x v="0"/>
    <n v="15"/>
    <n v="50"/>
  </r>
  <r>
    <n v="3432"/>
    <x v="195"/>
    <x v="2"/>
    <d v="2024-09-14T00:00:00"/>
    <x v="0"/>
    <n v="10"/>
    <x v="1"/>
    <x v="1"/>
    <x v="1"/>
    <x v="0"/>
    <x v="0"/>
    <n v="15"/>
    <n v="15"/>
  </r>
  <r>
    <n v="3433"/>
    <x v="196"/>
    <x v="1"/>
    <d v="2024-09-15T00:00:00"/>
    <x v="1"/>
    <n v="5"/>
    <x v="0"/>
    <x v="1"/>
    <x v="1"/>
    <x v="1"/>
    <x v="1"/>
    <n v="1"/>
    <n v="4"/>
  </r>
  <r>
    <n v="3434"/>
    <x v="197"/>
    <x v="0"/>
    <d v="2024-09-16T00:00:00"/>
    <x v="0"/>
    <n v="15"/>
    <x v="2"/>
    <x v="0"/>
    <x v="0"/>
    <x v="0"/>
    <x v="0"/>
    <n v="7"/>
    <n v="58"/>
  </r>
  <r>
    <n v="3435"/>
    <x v="198"/>
    <x v="2"/>
    <d v="2024-09-17T00:00:00"/>
    <x v="1"/>
    <n v="10"/>
    <x v="0"/>
    <x v="1"/>
    <x v="1"/>
    <x v="0"/>
    <x v="0"/>
    <n v="10"/>
    <n v="20"/>
  </r>
  <r>
    <n v="3436"/>
    <x v="199"/>
    <x v="1"/>
    <d v="2024-09-18T00:00:00"/>
    <x v="0"/>
    <n v="5"/>
    <x v="0"/>
    <x v="1"/>
    <x v="1"/>
    <x v="1"/>
    <x v="1"/>
    <n v="0"/>
    <n v="5"/>
  </r>
  <r>
    <n v="3437"/>
    <x v="200"/>
    <x v="0"/>
    <d v="2024-09-19T00:00:00"/>
    <x v="1"/>
    <n v="15"/>
    <x v="2"/>
    <x v="0"/>
    <x v="0"/>
    <x v="0"/>
    <x v="0"/>
    <n v="7"/>
    <n v="58"/>
  </r>
  <r>
    <n v="3438"/>
    <x v="201"/>
    <x v="2"/>
    <d v="2024-09-20T00:00:00"/>
    <x v="0"/>
    <n v="10"/>
    <x v="1"/>
    <x v="1"/>
    <x v="1"/>
    <x v="0"/>
    <x v="0"/>
    <n v="10"/>
    <n v="20"/>
  </r>
  <r>
    <n v="3439"/>
    <x v="202"/>
    <x v="1"/>
    <d v="2024-09-21T00:00:00"/>
    <x v="1"/>
    <n v="5"/>
    <x v="2"/>
    <x v="1"/>
    <x v="1"/>
    <x v="1"/>
    <x v="1"/>
    <n v="1"/>
    <n v="4"/>
  </r>
  <r>
    <n v="3440"/>
    <x v="203"/>
    <x v="0"/>
    <d v="2024-09-22T00:00:00"/>
    <x v="0"/>
    <n v="15"/>
    <x v="0"/>
    <x v="0"/>
    <x v="0"/>
    <x v="0"/>
    <x v="0"/>
    <n v="15"/>
    <n v="50"/>
  </r>
  <r>
    <n v="3441"/>
    <x v="204"/>
    <x v="2"/>
    <d v="2024-09-23T00:00:00"/>
    <x v="1"/>
    <n v="10"/>
    <x v="0"/>
    <x v="1"/>
    <x v="1"/>
    <x v="0"/>
    <x v="0"/>
    <n v="5"/>
    <n v="25"/>
  </r>
  <r>
    <n v="3442"/>
    <x v="205"/>
    <x v="1"/>
    <d v="2024-09-24T00:00:00"/>
    <x v="0"/>
    <n v="5"/>
    <x v="1"/>
    <x v="1"/>
    <x v="1"/>
    <x v="1"/>
    <x v="1"/>
    <n v="0"/>
    <n v="5"/>
  </r>
  <r>
    <n v="3443"/>
    <x v="206"/>
    <x v="0"/>
    <d v="2024-09-25T00:00:00"/>
    <x v="1"/>
    <n v="15"/>
    <x v="2"/>
    <x v="0"/>
    <x v="0"/>
    <x v="0"/>
    <x v="0"/>
    <n v="20"/>
    <n v="45"/>
  </r>
  <r>
    <n v="3444"/>
    <x v="207"/>
    <x v="2"/>
    <d v="2024-09-26T00:00:00"/>
    <x v="0"/>
    <n v="10"/>
    <x v="2"/>
    <x v="1"/>
    <x v="1"/>
    <x v="0"/>
    <x v="0"/>
    <n v="12"/>
    <n v="18"/>
  </r>
  <r>
    <n v="3445"/>
    <x v="37"/>
    <x v="1"/>
    <d v="2024-09-27T00:00:00"/>
    <x v="1"/>
    <n v="5"/>
    <x v="0"/>
    <x v="1"/>
    <x v="1"/>
    <x v="1"/>
    <x v="1"/>
    <n v="2"/>
    <n v="3"/>
  </r>
  <r>
    <n v="3446"/>
    <x v="208"/>
    <x v="0"/>
    <d v="2024-09-28T00:00:00"/>
    <x v="0"/>
    <n v="15"/>
    <x v="1"/>
    <x v="0"/>
    <x v="0"/>
    <x v="0"/>
    <x v="0"/>
    <n v="5"/>
    <n v="60"/>
  </r>
  <r>
    <n v="3447"/>
    <x v="209"/>
    <x v="2"/>
    <d v="2024-09-29T00:00:00"/>
    <x v="1"/>
    <n v="10"/>
    <x v="0"/>
    <x v="1"/>
    <x v="1"/>
    <x v="0"/>
    <x v="0"/>
    <n v="10"/>
    <n v="20"/>
  </r>
  <r>
    <n v="3448"/>
    <x v="210"/>
    <x v="1"/>
    <d v="2024-09-30T00:00:00"/>
    <x v="0"/>
    <n v="5"/>
    <x v="2"/>
    <x v="1"/>
    <x v="1"/>
    <x v="1"/>
    <x v="1"/>
    <n v="0"/>
    <n v="5"/>
  </r>
  <r>
    <n v="3449"/>
    <x v="211"/>
    <x v="0"/>
    <d v="2024-10-01T00:00:00"/>
    <x v="1"/>
    <n v="15"/>
    <x v="0"/>
    <x v="0"/>
    <x v="0"/>
    <x v="0"/>
    <x v="0"/>
    <n v="3"/>
    <n v="62"/>
  </r>
  <r>
    <n v="3450"/>
    <x v="212"/>
    <x v="2"/>
    <d v="2024-10-02T00:00:00"/>
    <x v="0"/>
    <n v="10"/>
    <x v="1"/>
    <x v="1"/>
    <x v="1"/>
    <x v="0"/>
    <x v="0"/>
    <n v="15"/>
    <n v="15"/>
  </r>
  <r>
    <n v="3451"/>
    <x v="213"/>
    <x v="1"/>
    <d v="2024-10-03T00:00:00"/>
    <x v="1"/>
    <n v="5"/>
    <x v="0"/>
    <x v="1"/>
    <x v="1"/>
    <x v="1"/>
    <x v="1"/>
    <n v="1"/>
    <n v="4"/>
  </r>
  <r>
    <n v="3452"/>
    <x v="191"/>
    <x v="0"/>
    <d v="2024-10-04T00:00:00"/>
    <x v="0"/>
    <n v="15"/>
    <x v="2"/>
    <x v="0"/>
    <x v="0"/>
    <x v="0"/>
    <x v="0"/>
    <n v="7"/>
    <n v="58"/>
  </r>
  <r>
    <n v="3453"/>
    <x v="45"/>
    <x v="2"/>
    <d v="2024-10-05T00:00:00"/>
    <x v="1"/>
    <n v="10"/>
    <x v="0"/>
    <x v="1"/>
    <x v="1"/>
    <x v="0"/>
    <x v="0"/>
    <n v="10"/>
    <n v="20"/>
  </r>
  <r>
    <n v="3454"/>
    <x v="214"/>
    <x v="1"/>
    <d v="2024-10-06T00:00:00"/>
    <x v="0"/>
    <n v="5"/>
    <x v="1"/>
    <x v="1"/>
    <x v="1"/>
    <x v="1"/>
    <x v="1"/>
    <n v="0"/>
    <n v="5"/>
  </r>
  <r>
    <n v="3455"/>
    <x v="215"/>
    <x v="0"/>
    <d v="2024-10-07T00:00:00"/>
    <x v="1"/>
    <n v="15"/>
    <x v="0"/>
    <x v="0"/>
    <x v="0"/>
    <x v="0"/>
    <x v="0"/>
    <n v="20"/>
    <n v="45"/>
  </r>
  <r>
    <n v="3456"/>
    <x v="216"/>
    <x v="2"/>
    <d v="2024-10-08T00:00:00"/>
    <x v="0"/>
    <n v="10"/>
    <x v="2"/>
    <x v="1"/>
    <x v="1"/>
    <x v="0"/>
    <x v="0"/>
    <n v="15"/>
    <n v="15"/>
  </r>
  <r>
    <n v="3457"/>
    <x v="217"/>
    <x v="1"/>
    <d v="2024-10-09T00:00:00"/>
    <x v="1"/>
    <n v="5"/>
    <x v="0"/>
    <x v="1"/>
    <x v="1"/>
    <x v="1"/>
    <x v="1"/>
    <n v="1"/>
    <n v="4"/>
  </r>
  <r>
    <n v="3458"/>
    <x v="218"/>
    <x v="0"/>
    <d v="2024-10-10T00:00:00"/>
    <x v="0"/>
    <n v="15"/>
    <x v="1"/>
    <x v="0"/>
    <x v="0"/>
    <x v="0"/>
    <x v="0"/>
    <n v="3"/>
    <n v="62"/>
  </r>
  <r>
    <n v="3459"/>
    <x v="219"/>
    <x v="2"/>
    <d v="2024-10-11T00:00:00"/>
    <x v="1"/>
    <n v="10"/>
    <x v="0"/>
    <x v="1"/>
    <x v="1"/>
    <x v="0"/>
    <x v="0"/>
    <n v="10"/>
    <n v="20"/>
  </r>
  <r>
    <n v="3460"/>
    <x v="127"/>
    <x v="1"/>
    <d v="2024-10-12T00:00:00"/>
    <x v="0"/>
    <n v="5"/>
    <x v="2"/>
    <x v="1"/>
    <x v="1"/>
    <x v="1"/>
    <x v="1"/>
    <n v="0"/>
    <n v="5"/>
  </r>
  <r>
    <n v="3461"/>
    <x v="220"/>
    <x v="0"/>
    <d v="2024-10-13T00:00:00"/>
    <x v="1"/>
    <n v="15"/>
    <x v="0"/>
    <x v="0"/>
    <x v="0"/>
    <x v="0"/>
    <x v="0"/>
    <n v="15"/>
    <n v="50"/>
  </r>
  <r>
    <n v="3462"/>
    <x v="221"/>
    <x v="2"/>
    <d v="2024-10-14T00:00:00"/>
    <x v="0"/>
    <n v="10"/>
    <x v="1"/>
    <x v="1"/>
    <x v="1"/>
    <x v="0"/>
    <x v="0"/>
    <n v="15"/>
    <n v="15"/>
  </r>
  <r>
    <n v="3463"/>
    <x v="222"/>
    <x v="1"/>
    <d v="2024-10-15T00:00:00"/>
    <x v="1"/>
    <n v="5"/>
    <x v="0"/>
    <x v="1"/>
    <x v="1"/>
    <x v="1"/>
    <x v="1"/>
    <n v="1"/>
    <n v="4"/>
  </r>
  <r>
    <n v="3464"/>
    <x v="223"/>
    <x v="0"/>
    <d v="2024-10-16T00:00:00"/>
    <x v="0"/>
    <n v="15"/>
    <x v="2"/>
    <x v="0"/>
    <x v="0"/>
    <x v="0"/>
    <x v="0"/>
    <n v="7"/>
    <n v="58"/>
  </r>
  <r>
    <n v="3465"/>
    <x v="224"/>
    <x v="2"/>
    <d v="2024-10-17T00:00:00"/>
    <x v="1"/>
    <n v="10"/>
    <x v="0"/>
    <x v="1"/>
    <x v="1"/>
    <x v="0"/>
    <x v="0"/>
    <n v="10"/>
    <n v="20"/>
  </r>
  <r>
    <n v="3466"/>
    <x v="225"/>
    <x v="1"/>
    <d v="2024-10-18T00:00:00"/>
    <x v="0"/>
    <n v="5"/>
    <x v="1"/>
    <x v="1"/>
    <x v="1"/>
    <x v="1"/>
    <x v="1"/>
    <n v="0"/>
    <n v="5"/>
  </r>
  <r>
    <n v="3467"/>
    <x v="226"/>
    <x v="0"/>
    <d v="2024-10-19T00:00:00"/>
    <x v="1"/>
    <n v="15"/>
    <x v="0"/>
    <x v="0"/>
    <x v="0"/>
    <x v="0"/>
    <x v="0"/>
    <n v="15"/>
    <n v="50"/>
  </r>
  <r>
    <n v="3468"/>
    <x v="227"/>
    <x v="2"/>
    <d v="2024-10-20T00:00:00"/>
    <x v="0"/>
    <n v="10"/>
    <x v="2"/>
    <x v="1"/>
    <x v="1"/>
    <x v="0"/>
    <x v="0"/>
    <n v="12"/>
    <n v="18"/>
  </r>
  <r>
    <n v="3469"/>
    <x v="228"/>
    <x v="1"/>
    <d v="2024-10-21T00:00:00"/>
    <x v="1"/>
    <n v="5"/>
    <x v="0"/>
    <x v="1"/>
    <x v="1"/>
    <x v="1"/>
    <x v="1"/>
    <n v="2"/>
    <n v="3"/>
  </r>
  <r>
    <n v="3470"/>
    <x v="229"/>
    <x v="0"/>
    <d v="2024-10-22T00:00:00"/>
    <x v="0"/>
    <n v="15"/>
    <x v="1"/>
    <x v="0"/>
    <x v="0"/>
    <x v="0"/>
    <x v="0"/>
    <n v="5"/>
    <n v="60"/>
  </r>
  <r>
    <n v="3471"/>
    <x v="230"/>
    <x v="2"/>
    <d v="2024-10-23T00:00:00"/>
    <x v="1"/>
    <n v="10"/>
    <x v="0"/>
    <x v="1"/>
    <x v="1"/>
    <x v="0"/>
    <x v="0"/>
    <n v="10"/>
    <n v="20"/>
  </r>
  <r>
    <n v="3472"/>
    <x v="231"/>
    <x v="1"/>
    <d v="2024-10-24T00:00:00"/>
    <x v="0"/>
    <n v="5"/>
    <x v="2"/>
    <x v="1"/>
    <x v="1"/>
    <x v="1"/>
    <x v="1"/>
    <n v="0"/>
    <n v="5"/>
  </r>
  <r>
    <n v="3473"/>
    <x v="140"/>
    <x v="0"/>
    <d v="2024-10-25T00:00:00"/>
    <x v="1"/>
    <n v="15"/>
    <x v="0"/>
    <x v="0"/>
    <x v="0"/>
    <x v="0"/>
    <x v="0"/>
    <n v="3"/>
    <n v="62"/>
  </r>
  <r>
    <n v="3474"/>
    <x v="232"/>
    <x v="2"/>
    <d v="2024-10-26T00:00:00"/>
    <x v="0"/>
    <n v="10"/>
    <x v="1"/>
    <x v="1"/>
    <x v="1"/>
    <x v="0"/>
    <x v="0"/>
    <n v="15"/>
    <n v="15"/>
  </r>
  <r>
    <n v="3475"/>
    <x v="233"/>
    <x v="1"/>
    <d v="2024-10-27T00:00:00"/>
    <x v="1"/>
    <n v="5"/>
    <x v="0"/>
    <x v="1"/>
    <x v="1"/>
    <x v="1"/>
    <x v="1"/>
    <n v="1"/>
    <n v="4"/>
  </r>
  <r>
    <n v="3476"/>
    <x v="234"/>
    <x v="0"/>
    <d v="2024-10-28T00:00:00"/>
    <x v="0"/>
    <n v="15"/>
    <x v="2"/>
    <x v="0"/>
    <x v="0"/>
    <x v="0"/>
    <x v="0"/>
    <n v="7"/>
    <n v="58"/>
  </r>
  <r>
    <n v="3477"/>
    <x v="235"/>
    <x v="2"/>
    <d v="2024-10-29T00:00:00"/>
    <x v="1"/>
    <n v="10"/>
    <x v="0"/>
    <x v="1"/>
    <x v="1"/>
    <x v="0"/>
    <x v="0"/>
    <n v="10"/>
    <n v="20"/>
  </r>
  <r>
    <n v="3478"/>
    <x v="236"/>
    <x v="1"/>
    <d v="2024-10-30T00:00:00"/>
    <x v="0"/>
    <n v="5"/>
    <x v="1"/>
    <x v="1"/>
    <x v="1"/>
    <x v="1"/>
    <x v="1"/>
    <n v="0"/>
    <n v="5"/>
  </r>
  <r>
    <n v="3479"/>
    <x v="237"/>
    <x v="0"/>
    <d v="2024-10-31T00:00:00"/>
    <x v="1"/>
    <n v="15"/>
    <x v="0"/>
    <x v="0"/>
    <x v="0"/>
    <x v="0"/>
    <x v="0"/>
    <n v="20"/>
    <n v="45"/>
  </r>
  <r>
    <n v="3480"/>
    <x v="238"/>
    <x v="2"/>
    <d v="2024-11-01T00:00:00"/>
    <x v="0"/>
    <n v="10"/>
    <x v="2"/>
    <x v="1"/>
    <x v="1"/>
    <x v="0"/>
    <x v="0"/>
    <n v="15"/>
    <n v="15"/>
  </r>
  <r>
    <n v="3481"/>
    <x v="239"/>
    <x v="1"/>
    <d v="2024-11-02T00:00:00"/>
    <x v="1"/>
    <n v="5"/>
    <x v="0"/>
    <x v="1"/>
    <x v="1"/>
    <x v="1"/>
    <x v="1"/>
    <n v="1"/>
    <n v="4"/>
  </r>
  <r>
    <n v="3482"/>
    <x v="240"/>
    <x v="0"/>
    <d v="2024-11-03T00:00:00"/>
    <x v="0"/>
    <n v="15"/>
    <x v="1"/>
    <x v="0"/>
    <x v="0"/>
    <x v="0"/>
    <x v="0"/>
    <n v="3"/>
    <n v="62"/>
  </r>
  <r>
    <n v="3483"/>
    <x v="241"/>
    <x v="2"/>
    <d v="2024-11-04T00:00:00"/>
    <x v="1"/>
    <n v="10"/>
    <x v="0"/>
    <x v="1"/>
    <x v="1"/>
    <x v="0"/>
    <x v="0"/>
    <n v="10"/>
    <n v="20"/>
  </r>
  <r>
    <n v="3484"/>
    <x v="242"/>
    <x v="1"/>
    <d v="2024-11-05T00:00:00"/>
    <x v="0"/>
    <n v="5"/>
    <x v="2"/>
    <x v="1"/>
    <x v="1"/>
    <x v="1"/>
    <x v="1"/>
    <n v="0"/>
    <n v="5"/>
  </r>
  <r>
    <n v="3485"/>
    <x v="243"/>
    <x v="0"/>
    <d v="2024-11-06T00:00:00"/>
    <x v="1"/>
    <n v="15"/>
    <x v="0"/>
    <x v="0"/>
    <x v="0"/>
    <x v="0"/>
    <x v="0"/>
    <n v="15"/>
    <n v="50"/>
  </r>
  <r>
    <n v="3486"/>
    <x v="244"/>
    <x v="1"/>
    <d v="2024-11-07T00:00:00"/>
    <x v="0"/>
    <n v="5"/>
    <x v="0"/>
    <x v="1"/>
    <x v="1"/>
    <x v="1"/>
    <x v="1"/>
    <n v="0"/>
    <n v="5"/>
  </r>
  <r>
    <n v="3487"/>
    <x v="245"/>
    <x v="0"/>
    <d v="2024-11-08T00:00:00"/>
    <x v="1"/>
    <n v="15"/>
    <x v="2"/>
    <x v="0"/>
    <x v="0"/>
    <x v="0"/>
    <x v="0"/>
    <n v="7"/>
    <n v="58"/>
  </r>
  <r>
    <n v="3488"/>
    <x v="246"/>
    <x v="2"/>
    <d v="2024-11-09T00:00:00"/>
    <x v="0"/>
    <n v="10"/>
    <x v="1"/>
    <x v="1"/>
    <x v="1"/>
    <x v="0"/>
    <x v="0"/>
    <n v="10"/>
    <n v="20"/>
  </r>
  <r>
    <n v="3489"/>
    <x v="247"/>
    <x v="1"/>
    <d v="2024-11-10T00:00:00"/>
    <x v="1"/>
    <n v="5"/>
    <x v="2"/>
    <x v="1"/>
    <x v="1"/>
    <x v="1"/>
    <x v="1"/>
    <n v="1"/>
    <n v="4"/>
  </r>
  <r>
    <n v="3490"/>
    <x v="248"/>
    <x v="0"/>
    <d v="2024-11-11T00:00:00"/>
    <x v="0"/>
    <n v="15"/>
    <x v="0"/>
    <x v="0"/>
    <x v="0"/>
    <x v="0"/>
    <x v="0"/>
    <n v="15"/>
    <n v="50"/>
  </r>
  <r>
    <n v="3491"/>
    <x v="249"/>
    <x v="2"/>
    <d v="2024-11-12T00:00:00"/>
    <x v="1"/>
    <n v="10"/>
    <x v="0"/>
    <x v="1"/>
    <x v="1"/>
    <x v="0"/>
    <x v="0"/>
    <n v="5"/>
    <n v="25"/>
  </r>
  <r>
    <n v="3492"/>
    <x v="250"/>
    <x v="1"/>
    <d v="2024-11-13T00:00:00"/>
    <x v="0"/>
    <n v="5"/>
    <x v="1"/>
    <x v="1"/>
    <x v="1"/>
    <x v="1"/>
    <x v="1"/>
    <n v="0"/>
    <n v="5"/>
  </r>
  <r>
    <n v="3493"/>
    <x v="251"/>
    <x v="0"/>
    <d v="2024-11-14T00:00:00"/>
    <x v="1"/>
    <n v="15"/>
    <x v="2"/>
    <x v="0"/>
    <x v="0"/>
    <x v="0"/>
    <x v="0"/>
    <n v="20"/>
    <n v="45"/>
  </r>
  <r>
    <n v="3494"/>
    <x v="252"/>
    <x v="2"/>
    <d v="2024-11-15T00:00:00"/>
    <x v="0"/>
    <n v="10"/>
    <x v="2"/>
    <x v="1"/>
    <x v="1"/>
    <x v="0"/>
    <x v="0"/>
    <n v="12"/>
    <n v="18"/>
  </r>
  <r>
    <n v="3495"/>
    <x v="253"/>
    <x v="1"/>
    <d v="2024-11-16T00:00:00"/>
    <x v="1"/>
    <n v="5"/>
    <x v="0"/>
    <x v="1"/>
    <x v="1"/>
    <x v="1"/>
    <x v="1"/>
    <n v="2"/>
    <n v="3"/>
  </r>
  <r>
    <n v="3496"/>
    <x v="254"/>
    <x v="0"/>
    <d v="2024-11-17T00:00:00"/>
    <x v="0"/>
    <n v="15"/>
    <x v="1"/>
    <x v="0"/>
    <x v="0"/>
    <x v="0"/>
    <x v="0"/>
    <n v="5"/>
    <n v="60"/>
  </r>
  <r>
    <n v="3497"/>
    <x v="255"/>
    <x v="2"/>
    <d v="2024-11-18T00:00:00"/>
    <x v="1"/>
    <n v="10"/>
    <x v="0"/>
    <x v="1"/>
    <x v="1"/>
    <x v="0"/>
    <x v="0"/>
    <n v="10"/>
    <n v="20"/>
  </r>
  <r>
    <n v="3498"/>
    <x v="256"/>
    <x v="1"/>
    <d v="2024-11-19T00:00:00"/>
    <x v="0"/>
    <n v="5"/>
    <x v="2"/>
    <x v="1"/>
    <x v="1"/>
    <x v="1"/>
    <x v="1"/>
    <n v="0"/>
    <n v="5"/>
  </r>
  <r>
    <n v="3499"/>
    <x v="257"/>
    <x v="0"/>
    <d v="2024-11-20T00:00:00"/>
    <x v="1"/>
    <n v="15"/>
    <x v="0"/>
    <x v="0"/>
    <x v="0"/>
    <x v="0"/>
    <x v="0"/>
    <n v="3"/>
    <n v="62"/>
  </r>
  <r>
    <n v="3500"/>
    <x v="258"/>
    <x v="2"/>
    <d v="2024-11-21T00:00:00"/>
    <x v="0"/>
    <n v="10"/>
    <x v="1"/>
    <x v="1"/>
    <x v="1"/>
    <x v="0"/>
    <x v="0"/>
    <n v="15"/>
    <n v="15"/>
  </r>
  <r>
    <n v="3501"/>
    <x v="259"/>
    <x v="1"/>
    <d v="2024-11-22T00:00:00"/>
    <x v="1"/>
    <n v="5"/>
    <x v="0"/>
    <x v="1"/>
    <x v="1"/>
    <x v="1"/>
    <x v="1"/>
    <n v="1"/>
    <n v="4"/>
  </r>
  <r>
    <n v="3502"/>
    <x v="260"/>
    <x v="0"/>
    <d v="2024-11-23T00:00:00"/>
    <x v="0"/>
    <n v="15"/>
    <x v="2"/>
    <x v="0"/>
    <x v="0"/>
    <x v="0"/>
    <x v="0"/>
    <n v="7"/>
    <n v="58"/>
  </r>
  <r>
    <n v="3503"/>
    <x v="119"/>
    <x v="2"/>
    <d v="2024-11-24T00:00:00"/>
    <x v="1"/>
    <n v="10"/>
    <x v="0"/>
    <x v="1"/>
    <x v="1"/>
    <x v="0"/>
    <x v="0"/>
    <n v="10"/>
    <n v="20"/>
  </r>
  <r>
    <n v="3504"/>
    <x v="261"/>
    <x v="1"/>
    <d v="2024-11-25T00:00:00"/>
    <x v="0"/>
    <n v="5"/>
    <x v="1"/>
    <x v="1"/>
    <x v="1"/>
    <x v="1"/>
    <x v="1"/>
    <n v="0"/>
    <n v="5"/>
  </r>
  <r>
    <n v="3505"/>
    <x v="262"/>
    <x v="0"/>
    <d v="2024-11-26T00:00:00"/>
    <x v="1"/>
    <n v="15"/>
    <x v="0"/>
    <x v="0"/>
    <x v="0"/>
    <x v="0"/>
    <x v="0"/>
    <n v="20"/>
    <n v="45"/>
  </r>
  <r>
    <n v="3506"/>
    <x v="263"/>
    <x v="2"/>
    <d v="2024-11-27T00:00:00"/>
    <x v="0"/>
    <n v="10"/>
    <x v="2"/>
    <x v="1"/>
    <x v="1"/>
    <x v="0"/>
    <x v="0"/>
    <n v="15"/>
    <n v="15"/>
  </r>
  <r>
    <n v="3507"/>
    <x v="264"/>
    <x v="1"/>
    <d v="2024-11-28T00:00:00"/>
    <x v="1"/>
    <n v="5"/>
    <x v="0"/>
    <x v="1"/>
    <x v="1"/>
    <x v="1"/>
    <x v="1"/>
    <n v="1"/>
    <n v="4"/>
  </r>
  <r>
    <n v="3508"/>
    <x v="265"/>
    <x v="0"/>
    <d v="2024-11-29T00:00:00"/>
    <x v="0"/>
    <n v="15"/>
    <x v="1"/>
    <x v="0"/>
    <x v="0"/>
    <x v="0"/>
    <x v="0"/>
    <n v="3"/>
    <n v="62"/>
  </r>
  <r>
    <n v="3509"/>
    <x v="266"/>
    <x v="2"/>
    <d v="2024-11-30T00:00:00"/>
    <x v="1"/>
    <n v="10"/>
    <x v="0"/>
    <x v="1"/>
    <x v="1"/>
    <x v="0"/>
    <x v="0"/>
    <n v="10"/>
    <n v="20"/>
  </r>
  <r>
    <n v="3510"/>
    <x v="267"/>
    <x v="1"/>
    <d v="2024-12-01T00:00:00"/>
    <x v="0"/>
    <n v="5"/>
    <x v="2"/>
    <x v="1"/>
    <x v="1"/>
    <x v="1"/>
    <x v="1"/>
    <n v="0"/>
    <n v="5"/>
  </r>
  <r>
    <n v="3511"/>
    <x v="268"/>
    <x v="0"/>
    <d v="2024-12-02T00:00:00"/>
    <x v="1"/>
    <n v="15"/>
    <x v="0"/>
    <x v="0"/>
    <x v="0"/>
    <x v="0"/>
    <x v="0"/>
    <n v="15"/>
    <n v="50"/>
  </r>
  <r>
    <n v="3512"/>
    <x v="269"/>
    <x v="2"/>
    <d v="2024-12-03T00:00:00"/>
    <x v="0"/>
    <n v="10"/>
    <x v="1"/>
    <x v="1"/>
    <x v="1"/>
    <x v="0"/>
    <x v="0"/>
    <n v="15"/>
    <n v="15"/>
  </r>
  <r>
    <n v="3513"/>
    <x v="270"/>
    <x v="1"/>
    <d v="2024-12-04T00:00:00"/>
    <x v="1"/>
    <n v="5"/>
    <x v="0"/>
    <x v="1"/>
    <x v="1"/>
    <x v="1"/>
    <x v="1"/>
    <n v="1"/>
    <n v="4"/>
  </r>
  <r>
    <n v="3514"/>
    <x v="271"/>
    <x v="0"/>
    <d v="2024-12-05T00:00:00"/>
    <x v="0"/>
    <n v="15"/>
    <x v="2"/>
    <x v="0"/>
    <x v="0"/>
    <x v="0"/>
    <x v="0"/>
    <n v="7"/>
    <n v="58"/>
  </r>
  <r>
    <n v="3515"/>
    <x v="130"/>
    <x v="2"/>
    <d v="2024-12-06T00:00:00"/>
    <x v="1"/>
    <n v="10"/>
    <x v="0"/>
    <x v="1"/>
    <x v="1"/>
    <x v="0"/>
    <x v="0"/>
    <n v="10"/>
    <n v="20"/>
  </r>
  <r>
    <n v="3516"/>
    <x v="131"/>
    <x v="1"/>
    <d v="2024-12-07T00:00:00"/>
    <x v="0"/>
    <n v="5"/>
    <x v="1"/>
    <x v="1"/>
    <x v="1"/>
    <x v="1"/>
    <x v="1"/>
    <n v="0"/>
    <n v="5"/>
  </r>
  <r>
    <n v="3517"/>
    <x v="181"/>
    <x v="0"/>
    <d v="2024-12-08T00:00:00"/>
    <x v="1"/>
    <n v="15"/>
    <x v="0"/>
    <x v="0"/>
    <x v="0"/>
    <x v="0"/>
    <x v="0"/>
    <n v="20"/>
    <n v="45"/>
  </r>
  <r>
    <n v="3518"/>
    <x v="272"/>
    <x v="2"/>
    <d v="2024-12-09T00:00:00"/>
    <x v="0"/>
    <n v="10"/>
    <x v="2"/>
    <x v="1"/>
    <x v="1"/>
    <x v="0"/>
    <x v="0"/>
    <n v="12"/>
    <n v="18"/>
  </r>
  <r>
    <n v="3519"/>
    <x v="273"/>
    <x v="1"/>
    <d v="2024-12-10T00:00:00"/>
    <x v="1"/>
    <n v="5"/>
    <x v="0"/>
    <x v="1"/>
    <x v="1"/>
    <x v="1"/>
    <x v="1"/>
    <n v="2"/>
    <n v="3"/>
  </r>
  <r>
    <n v="3520"/>
    <x v="274"/>
    <x v="0"/>
    <d v="2024-12-11T00:00:00"/>
    <x v="0"/>
    <n v="15"/>
    <x v="1"/>
    <x v="0"/>
    <x v="0"/>
    <x v="0"/>
    <x v="0"/>
    <n v="5"/>
    <n v="60"/>
  </r>
  <r>
    <n v="3521"/>
    <x v="275"/>
    <x v="2"/>
    <d v="2024-12-12T00:00:00"/>
    <x v="1"/>
    <n v="10"/>
    <x v="0"/>
    <x v="1"/>
    <x v="1"/>
    <x v="0"/>
    <x v="0"/>
    <n v="10"/>
    <n v="20"/>
  </r>
  <r>
    <n v="3522"/>
    <x v="276"/>
    <x v="1"/>
    <d v="2024-12-13T00:00:00"/>
    <x v="0"/>
    <n v="5"/>
    <x v="2"/>
    <x v="1"/>
    <x v="1"/>
    <x v="1"/>
    <x v="1"/>
    <n v="0"/>
    <n v="5"/>
  </r>
  <r>
    <n v="3523"/>
    <x v="277"/>
    <x v="0"/>
    <d v="2024-12-14T00:00:00"/>
    <x v="1"/>
    <n v="15"/>
    <x v="0"/>
    <x v="0"/>
    <x v="0"/>
    <x v="0"/>
    <x v="0"/>
    <n v="3"/>
    <n v="62"/>
  </r>
  <r>
    <n v="3524"/>
    <x v="278"/>
    <x v="2"/>
    <d v="2024-12-15T00:00:00"/>
    <x v="0"/>
    <n v="10"/>
    <x v="1"/>
    <x v="1"/>
    <x v="1"/>
    <x v="0"/>
    <x v="0"/>
    <n v="15"/>
    <n v="15"/>
  </r>
  <r>
    <n v="3525"/>
    <x v="279"/>
    <x v="1"/>
    <d v="2024-12-16T00:00:00"/>
    <x v="1"/>
    <n v="5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FD9EB-673F-4700-8CA4-1510AC38C9D8}" name="Tabela dinâ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6:E38" firstHeaderRow="0" firstDataRow="1" firstDataCol="1"/>
  <pivotFields count="13">
    <pivotField showAll="0"/>
    <pivotField dataField="1" showAll="0"/>
    <pivotField showAll="0">
      <items count="4">
        <item h="1" x="1"/>
        <item x="2"/>
        <item h="1" x="0"/>
        <item t="default"/>
      </items>
    </pivotField>
    <pivotField numFmtId="14" showAll="0"/>
    <pivotField showAll="0"/>
    <pivotField dataField="1" numFmtId="164" showAll="0"/>
    <pivotField axis="axisRow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6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Name" fld="1" subtotal="count" baseField="0" baseItem="0"/>
    <dataField name="Média de Subscription Price" fld="5" subtotal="average" baseField="0" baseItem="1" numFmtId="164"/>
    <dataField name="Média de Total Value" fld="12" subtotal="average" baseField="0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F61CD-3919-4B31-8171-3882D96017FD}" name="Tabela dinâ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8:C30" firstHeaderRow="1" firstDataRow="1" firstDataCol="1" rowPageCount="1" colPageCount="1"/>
  <pivotFields count="13">
    <pivotField showAll="0"/>
    <pivotField showAll="0"/>
    <pivotField axis="axisRow" showAll="0" defaultSubtotal="0">
      <items count="3">
        <item h="1" x="1"/>
        <item x="2"/>
        <item h="1" x="0"/>
      </items>
    </pivotField>
    <pivotField numFmtId="14" showAll="0"/>
    <pivotField showAll="0"/>
    <pivotField numFmtId="164" showAll="0"/>
    <pivotField axis="axisPage" outline="0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2">
    <i>
      <x v="1"/>
    </i>
    <i t="grand">
      <x/>
    </i>
  </rowItems>
  <colItems count="1">
    <i/>
  </colItems>
  <pageFields count="1">
    <pageField fld="6" item="1" hier="-1"/>
  </pageFields>
  <dataFields count="1">
    <dataField name="Média de Total Value" fld="12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B3DF9-9D50-4353-AE90-9619827C3A2C}" name="Tabela dinâ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0:D22" firstHeaderRow="0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x="2"/>
        <item h="1" x="0"/>
        <item t="default"/>
      </items>
    </pivotField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sd="0" x="1"/>
        <item sd="0"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64" showAll="0">
      <items count="3">
        <item x="1"/>
        <item x="0"/>
        <item t="default"/>
      </items>
    </pivotField>
    <pivotField dataField="1" numFmtId="164" showAll="0"/>
    <pivotField dataField="1" numFmtId="164" showAll="0"/>
  </pivotFields>
  <rowFields count="1">
    <field x="2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1" hier="-1"/>
  </pageFields>
  <dataFields count="2">
    <dataField name="Soma de Coupon Value" fld="11" baseField="0" baseItem="0" numFmtId="164"/>
    <dataField name="Soma de Total Value" fld="12" baseField="0" baseItem="0" numFmtId="164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CA4B6-E265-4838-AED8-3CBA3B2B6B80}" name="tbl_annual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2:D14" firstHeaderRow="0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dataField="1" showAll="0">
      <items count="4">
        <item h="1" x="1"/>
        <item x="2"/>
        <item h="1" x="0"/>
        <item t="default"/>
      </items>
    </pivotField>
    <pivotField numFmtId="14" showAll="0"/>
    <pivotField axis="axisPage" showAll="0">
      <items count="3">
        <item sd="0" x="1"/>
        <item sd="0" x="0"/>
        <item t="default"/>
      </items>
    </pivotField>
    <pivotField numFmtId="164" showAll="0"/>
    <pivotField axis="axisRow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6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ntagem de Plan" fld="2" subtotal="count" baseField="0" baseItem="0"/>
    <dataField name="Soma de Total Value" fld="12" baseField="0" baseItem="0" numFmtId="164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FE00C1B-0AEA-4A9F-A359-67D52A0DEF5D}" sourceName="Subscription Type">
  <pivotTables>
    <pivotTable tabId="3" name="tbl_annual_total"/>
    <pivotTable tabId="3" name="Tabela dinâmica2"/>
    <pivotTable tabId="3" name="Tabela dinâmica3"/>
    <pivotTable tabId="3" name="Tabela dinâmica4"/>
  </pivotTables>
  <data>
    <tabular pivotCacheId="1668092169">
      <items count="3">
        <i x="1"/>
        <i x="0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D4262154-DBB9-4FE4-9885-2476821C164F}" sourceName="Plan">
  <pivotTables>
    <pivotTable tabId="3" name="Tabela dinâmica3"/>
    <pivotTable tabId="3" name="Tabela dinâmica2"/>
    <pivotTable tabId="3" name="Tabela dinâmica4"/>
    <pivotTable tabId="3" name="tbl_annual_total"/>
  </pivotTables>
  <data>
    <tabular pivotCacheId="1668092169">
      <items count="3">
        <i x="1"/>
        <i x="2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s de Planos" xr10:uid="{D04C76EE-316F-411A-996F-F9F6F2A0D7D1}" cache="SegmentaçãodeDados_Subscription_Type" caption="Subscription Type" style="Estilo de Segmentação de Dados 1" rowHeight="257175"/>
  <slicer name="Plan" xr10:uid="{C307AF7A-1CDA-4BFD-B1B8-B795A07B9520}" cache="SegmentaçãodeDados_Plan" caption="Plan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1" sqref="D3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7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5.5703125" bestFit="1" customWidth="1"/>
    <col min="12" max="12" width="13" bestFit="1" customWidth="1"/>
    <col min="13" max="13" width="15.710937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41"/>
  <sheetViews>
    <sheetView showGridLines="0" topLeftCell="A17" workbookViewId="0">
      <selection activeCell="D31" sqref="D31"/>
    </sheetView>
  </sheetViews>
  <sheetFormatPr defaultRowHeight="15" x14ac:dyDescent="0.25"/>
  <cols>
    <col min="2" max="2" width="18.42578125" bestFit="1" customWidth="1"/>
    <col min="3" max="3" width="17.5703125" bestFit="1" customWidth="1"/>
    <col min="4" max="4" width="19.28515625" bestFit="1" customWidth="1"/>
    <col min="5" max="5" width="19.7109375" bestFit="1" customWidth="1"/>
    <col min="6" max="6" width="10.7109375" bestFit="1" customWidth="1"/>
    <col min="7" max="8" width="9.7109375" bestFit="1" customWidth="1"/>
    <col min="9" max="9" width="10.5703125" bestFit="1" customWidth="1"/>
    <col min="10" max="11" width="9.7109375" bestFit="1" customWidth="1"/>
    <col min="12" max="12" width="10.7109375" bestFit="1" customWidth="1"/>
    <col min="13" max="15" width="9.7109375" bestFit="1" customWidth="1"/>
    <col min="16" max="16" width="15.5703125" bestFit="1" customWidth="1"/>
    <col min="17" max="17" width="12.140625" bestFit="1" customWidth="1"/>
  </cols>
  <sheetData>
    <row r="2" spans="2:4" x14ac:dyDescent="0.25">
      <c r="B2" s="19" t="s">
        <v>319</v>
      </c>
      <c r="C2" s="19"/>
    </row>
    <row r="4" spans="2:4" ht="21" customHeight="1" x14ac:dyDescent="0.25">
      <c r="B4" s="20" t="s">
        <v>320</v>
      </c>
    </row>
    <row r="5" spans="2:4" ht="21" customHeight="1" x14ac:dyDescent="0.25">
      <c r="B5" s="20" t="s">
        <v>321</v>
      </c>
    </row>
    <row r="6" spans="2:4" ht="21" customHeight="1" x14ac:dyDescent="0.25">
      <c r="B6" s="20" t="s">
        <v>324</v>
      </c>
    </row>
    <row r="7" spans="2:4" ht="21" customHeight="1" x14ac:dyDescent="0.25">
      <c r="B7" s="20" t="s">
        <v>322</v>
      </c>
    </row>
    <row r="10" spans="2:4" x14ac:dyDescent="0.25">
      <c r="B10" s="15" t="s">
        <v>15</v>
      </c>
      <c r="C10" t="s">
        <v>314</v>
      </c>
    </row>
    <row r="12" spans="2:4" x14ac:dyDescent="0.25">
      <c r="B12" s="15" t="s">
        <v>316</v>
      </c>
      <c r="C12" t="s">
        <v>318</v>
      </c>
      <c r="D12" t="s">
        <v>315</v>
      </c>
    </row>
    <row r="13" spans="2:4" x14ac:dyDescent="0.25">
      <c r="B13" s="17" t="s">
        <v>20</v>
      </c>
      <c r="C13" s="18">
        <v>45</v>
      </c>
      <c r="D13" s="16">
        <v>958</v>
      </c>
    </row>
    <row r="14" spans="2:4" x14ac:dyDescent="0.25">
      <c r="B14" s="17" t="s">
        <v>317</v>
      </c>
      <c r="C14" s="18">
        <v>45</v>
      </c>
      <c r="D14" s="16">
        <v>958</v>
      </c>
    </row>
    <row r="17" spans="2:7" x14ac:dyDescent="0.25">
      <c r="B17" s="21"/>
      <c r="C17" s="22"/>
      <c r="D17" s="23"/>
      <c r="E17" s="24"/>
      <c r="F17" s="24"/>
      <c r="G17" s="24"/>
    </row>
    <row r="18" spans="2:7" x14ac:dyDescent="0.25">
      <c r="B18" s="15" t="s">
        <v>16</v>
      </c>
      <c r="C18" t="s">
        <v>20</v>
      </c>
    </row>
    <row r="20" spans="2:7" x14ac:dyDescent="0.25">
      <c r="B20" s="15" t="s">
        <v>316</v>
      </c>
      <c r="C20" t="s">
        <v>323</v>
      </c>
      <c r="D20" t="s">
        <v>315</v>
      </c>
    </row>
    <row r="21" spans="2:7" x14ac:dyDescent="0.25">
      <c r="B21" s="17" t="s">
        <v>26</v>
      </c>
      <c r="C21" s="16">
        <v>392</v>
      </c>
      <c r="D21" s="16">
        <v>958</v>
      </c>
    </row>
    <row r="22" spans="2:7" x14ac:dyDescent="0.25">
      <c r="B22" s="17" t="s">
        <v>317</v>
      </c>
      <c r="C22" s="16">
        <v>392</v>
      </c>
      <c r="D22" s="16">
        <v>958</v>
      </c>
    </row>
    <row r="24" spans="2:7" x14ac:dyDescent="0.25">
      <c r="E24" s="25">
        <f>GETPIVOTDATA("Soma de Total Value",$B$20)</f>
        <v>958</v>
      </c>
    </row>
    <row r="25" spans="2:7" x14ac:dyDescent="0.25">
      <c r="B25" s="21"/>
      <c r="C25" s="22"/>
      <c r="D25" s="23"/>
      <c r="E25" s="24"/>
      <c r="F25" s="24"/>
      <c r="G25" s="24"/>
    </row>
    <row r="26" spans="2:7" x14ac:dyDescent="0.25">
      <c r="B26" s="15" t="s">
        <v>16</v>
      </c>
      <c r="C26" t="s">
        <v>20</v>
      </c>
    </row>
    <row r="28" spans="2:7" x14ac:dyDescent="0.25">
      <c r="B28" s="15" t="s">
        <v>316</v>
      </c>
      <c r="C28" t="s">
        <v>325</v>
      </c>
    </row>
    <row r="29" spans="2:7" x14ac:dyDescent="0.25">
      <c r="B29" s="17" t="s">
        <v>26</v>
      </c>
      <c r="C29" s="16">
        <v>21.288888888888888</v>
      </c>
    </row>
    <row r="30" spans="2:7" x14ac:dyDescent="0.25">
      <c r="B30" s="17" t="s">
        <v>317</v>
      </c>
      <c r="C30" s="16">
        <v>21.288888888888888</v>
      </c>
    </row>
    <row r="33" spans="2:7" x14ac:dyDescent="0.25">
      <c r="C33" s="25">
        <f>GETPIVOTDATA("Total Value",$B$28)</f>
        <v>21.288888888888888</v>
      </c>
    </row>
    <row r="34" spans="2:7" x14ac:dyDescent="0.25">
      <c r="B34" s="21"/>
      <c r="C34" s="22"/>
      <c r="D34" s="23"/>
      <c r="E34" s="24"/>
      <c r="F34" s="24"/>
      <c r="G34" s="24"/>
    </row>
    <row r="36" spans="2:7" x14ac:dyDescent="0.25">
      <c r="B36" s="15" t="s">
        <v>316</v>
      </c>
      <c r="C36" t="s">
        <v>326</v>
      </c>
      <c r="D36" t="s">
        <v>327</v>
      </c>
      <c r="E36" t="s">
        <v>325</v>
      </c>
    </row>
    <row r="37" spans="2:7" x14ac:dyDescent="0.25">
      <c r="B37" s="17" t="s">
        <v>20</v>
      </c>
      <c r="C37" s="18">
        <v>45</v>
      </c>
      <c r="D37" s="16">
        <v>10</v>
      </c>
      <c r="E37" s="16">
        <v>21.288888888888888</v>
      </c>
    </row>
    <row r="38" spans="2:7" x14ac:dyDescent="0.25">
      <c r="B38" s="17" t="s">
        <v>317</v>
      </c>
      <c r="C38" s="18">
        <v>45</v>
      </c>
      <c r="D38" s="16">
        <v>10</v>
      </c>
      <c r="E38" s="16">
        <v>21.288888888888888</v>
      </c>
    </row>
    <row r="41" spans="2:7" x14ac:dyDescent="0.25">
      <c r="C41">
        <f>GETPIVOTDATA("Contagem de Name",$B$36)</f>
        <v>45</v>
      </c>
      <c r="D41" s="25">
        <f>GETPIVOTDATA("Média de Subscription Price",$B$36)</f>
        <v>10</v>
      </c>
      <c r="E41" s="25">
        <f>GETPIVOTDATA("Média de Total Value",$B$36)</f>
        <v>21.288888888888888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L57"/>
  <sheetViews>
    <sheetView showGridLines="0" showRowColHeaders="0" tabSelected="1" topLeftCell="A14" zoomScale="93" zoomScaleNormal="93" workbookViewId="0">
      <selection activeCell="C3" sqref="C3"/>
    </sheetView>
  </sheetViews>
  <sheetFormatPr defaultRowHeight="15" x14ac:dyDescent="0.25"/>
  <cols>
    <col min="1" max="1" width="28.5703125" customWidth="1"/>
    <col min="2" max="2" width="3.5703125" customWidth="1"/>
    <col min="12" max="12" width="6.5703125" customWidth="1"/>
    <col min="13" max="16384" width="9.140625" style="26"/>
  </cols>
  <sheetData>
    <row r="1" spans="1:12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9" customHeight="1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5">
      <c r="A3" s="12"/>
      <c r="B3" s="13"/>
      <c r="C3" s="27" t="s">
        <v>330</v>
      </c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5">
      <c r="A4" s="14" t="s">
        <v>313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x14ac:dyDescent="0.25">
      <c r="A7" s="14" t="s">
        <v>328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 x14ac:dyDescent="0.25">
      <c r="A16" s="14" t="s">
        <v>329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x14ac:dyDescent="0.25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x14ac:dyDescent="0.25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x14ac:dyDescent="0.25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x14ac:dyDescent="0.2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x14ac:dyDescent="0.25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x14ac:dyDescent="0.25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x14ac:dyDescent="0.25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25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2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25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</row>
    <row r="44" spans="1:12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spans="1:12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spans="1:12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1:12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spans="1:12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1:12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2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spans="1:12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1:12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spans="1:12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1:12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spans="1:12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2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Denis Garcia Barbeto</cp:lastModifiedBy>
  <dcterms:created xsi:type="dcterms:W3CDTF">2024-12-19T13:13:10Z</dcterms:created>
  <dcterms:modified xsi:type="dcterms:W3CDTF">2025-11-02T21:24:04Z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